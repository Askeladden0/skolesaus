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43B1AFBB-8DFF-4B3E-A7B1-C4283892F6CA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Utregning" sheetId="2" state="hidden" r:id="rId1"/>
    <sheet name="Hovedside" sheetId="6" r:id="rId2"/>
    <sheet name="Nedbetaling av lån" sheetId="4" r:id="rId3"/>
    <sheet name="Frekvenstabell" sheetId="8" r:id="rId4"/>
    <sheet name="Pytagoras-kalkulator" sheetId="5" r:id="rId5"/>
    <sheet name="Prosentregning" sheetId="9" r:id="rId6"/>
    <sheet name="Omgjøring av enheter" sheetId="7" r:id="rId7"/>
    <sheet name="Inndata til histogram" sheetId="1" r:id="rId8"/>
    <sheet name="Histogram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9" i="9" l="1"/>
  <c r="B28" i="9"/>
  <c r="B27" i="9"/>
  <c r="B18" i="9"/>
  <c r="B17" i="9"/>
  <c r="B7" i="9"/>
  <c r="B8" i="9" s="1"/>
  <c r="G6" i="8"/>
  <c r="G5" i="8"/>
  <c r="B15" i="8"/>
  <c r="D14" i="8"/>
  <c r="C14" i="8"/>
  <c r="D13" i="8"/>
  <c r="C13" i="8"/>
  <c r="D12" i="8"/>
  <c r="C12" i="8"/>
  <c r="D11" i="8"/>
  <c r="C11" i="8"/>
  <c r="D10" i="8"/>
  <c r="C10" i="8"/>
  <c r="D9" i="8"/>
  <c r="C9" i="8"/>
  <c r="C8" i="8"/>
  <c r="C7" i="8"/>
  <c r="C6" i="8"/>
  <c r="C5" i="8"/>
  <c r="B10" i="4"/>
  <c r="C29" i="7"/>
  <c r="C30" i="7"/>
  <c r="C23" i="7"/>
  <c r="C35" i="7"/>
  <c r="C34" i="7"/>
  <c r="C33" i="7"/>
  <c r="C25" i="7"/>
  <c r="C24" i="7"/>
  <c r="C22" i="7"/>
  <c r="C21" i="7"/>
  <c r="C20" i="7"/>
  <c r="C17" i="7"/>
  <c r="C16" i="7"/>
  <c r="C15" i="7"/>
  <c r="C14" i="7"/>
  <c r="C13" i="7"/>
  <c r="C12" i="7"/>
  <c r="C9" i="7"/>
  <c r="C8" i="7"/>
  <c r="C7" i="7"/>
  <c r="C6" i="7"/>
  <c r="C5" i="7"/>
  <c r="C4" i="7"/>
  <c r="B10" i="1"/>
  <c r="H10" i="1" s="1"/>
  <c r="E21" i="5"/>
  <c r="E15" i="5"/>
  <c r="E9" i="5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C10" i="4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C21" i="2"/>
  <c r="A21" i="2"/>
  <c r="BK2" i="2" s="1"/>
  <c r="C20" i="2"/>
  <c r="A20" i="2"/>
  <c r="BH2" i="2" s="1"/>
  <c r="C19" i="2"/>
  <c r="A19" i="2"/>
  <c r="BE2" i="2" s="1"/>
  <c r="C18" i="2"/>
  <c r="A18" i="2"/>
  <c r="C17" i="2"/>
  <c r="A17" i="2"/>
  <c r="C16" i="2"/>
  <c r="A16" i="2"/>
  <c r="AV2" i="2" s="1"/>
  <c r="C15" i="2"/>
  <c r="A15" i="2"/>
  <c r="AS2" i="2" s="1"/>
  <c r="C14" i="2"/>
  <c r="A14" i="2"/>
  <c r="C13" i="2"/>
  <c r="A13" i="2"/>
  <c r="AM2" i="2" s="1"/>
  <c r="C12" i="2"/>
  <c r="A12" i="2"/>
  <c r="AJ2" i="2" s="1"/>
  <c r="C11" i="2"/>
  <c r="A11" i="2"/>
  <c r="AG2" i="2" s="1"/>
  <c r="C10" i="2"/>
  <c r="A10" i="2"/>
  <c r="C9" i="2"/>
  <c r="A9" i="2"/>
  <c r="C8" i="2"/>
  <c r="A8" i="2"/>
  <c r="X2" i="2" s="1"/>
  <c r="C7" i="2"/>
  <c r="A7" i="2"/>
  <c r="U2" i="2" s="1"/>
  <c r="C6" i="2"/>
  <c r="A6" i="2"/>
  <c r="R2" i="2" s="1"/>
  <c r="S2" i="2" s="1"/>
  <c r="C5" i="2"/>
  <c r="A5" i="2"/>
  <c r="O2" i="2" s="1"/>
  <c r="C4" i="2"/>
  <c r="A4" i="2"/>
  <c r="L2" i="2" s="1"/>
  <c r="C3" i="2"/>
  <c r="A3" i="2"/>
  <c r="I2" i="2" s="1"/>
  <c r="BB2" i="2"/>
  <c r="BC2" i="2" s="1"/>
  <c r="AY2" i="2"/>
  <c r="AZ2" i="2" s="1"/>
  <c r="AP2" i="2"/>
  <c r="AQ2" i="2" s="1"/>
  <c r="AD2" i="2"/>
  <c r="AE2" i="2" s="1"/>
  <c r="AA2" i="2"/>
  <c r="AB2" i="2" s="1"/>
  <c r="C2" i="2"/>
  <c r="A2" i="2"/>
  <c r="F2" i="2" s="1"/>
  <c r="H27" i="1"/>
  <c r="D21" i="2" s="1"/>
  <c r="BL3" i="2" s="1"/>
  <c r="BM3" i="2" s="1"/>
  <c r="F27" i="1"/>
  <c r="E27" i="1"/>
  <c r="D27" i="1"/>
  <c r="B27" i="1"/>
  <c r="B21" i="2" s="1"/>
  <c r="BM2" i="2" s="1"/>
  <c r="H26" i="1"/>
  <c r="D20" i="2" s="1"/>
  <c r="BI3" i="2" s="1"/>
  <c r="BJ3" i="2" s="1"/>
  <c r="F26" i="1"/>
  <c r="E26" i="1"/>
  <c r="D26" i="1"/>
  <c r="B26" i="1"/>
  <c r="B20" i="2" s="1"/>
  <c r="BJ2" i="2" s="1"/>
  <c r="H25" i="1"/>
  <c r="D19" i="2" s="1"/>
  <c r="BF3" i="2" s="1"/>
  <c r="BG3" i="2" s="1"/>
  <c r="F25" i="1"/>
  <c r="E25" i="1"/>
  <c r="D25" i="1"/>
  <c r="B25" i="1"/>
  <c r="B19" i="2" s="1"/>
  <c r="BG2" i="2" s="1"/>
  <c r="H24" i="1"/>
  <c r="D18" i="2" s="1"/>
  <c r="BC3" i="2" s="1"/>
  <c r="BD3" i="2" s="1"/>
  <c r="F24" i="1"/>
  <c r="E24" i="1"/>
  <c r="D24" i="1"/>
  <c r="B24" i="1"/>
  <c r="B18" i="2" s="1"/>
  <c r="BD2" i="2" s="1"/>
  <c r="H23" i="1"/>
  <c r="D17" i="2" s="1"/>
  <c r="AZ3" i="2" s="1"/>
  <c r="BA3" i="2" s="1"/>
  <c r="F23" i="1"/>
  <c r="E23" i="1"/>
  <c r="D23" i="1"/>
  <c r="B23" i="1"/>
  <c r="B17" i="2" s="1"/>
  <c r="BA2" i="2" s="1"/>
  <c r="H22" i="1"/>
  <c r="D16" i="2" s="1"/>
  <c r="AW3" i="2" s="1"/>
  <c r="AX3" i="2" s="1"/>
  <c r="F22" i="1"/>
  <c r="E22" i="1"/>
  <c r="D22" i="1"/>
  <c r="B22" i="1"/>
  <c r="B16" i="2" s="1"/>
  <c r="AX2" i="2" s="1"/>
  <c r="H21" i="1"/>
  <c r="D15" i="2" s="1"/>
  <c r="AT3" i="2" s="1"/>
  <c r="AU3" i="2" s="1"/>
  <c r="F21" i="1"/>
  <c r="E21" i="1"/>
  <c r="D21" i="1"/>
  <c r="B21" i="1"/>
  <c r="B15" i="2" s="1"/>
  <c r="AU2" i="2" s="1"/>
  <c r="H20" i="1"/>
  <c r="D14" i="2" s="1"/>
  <c r="AQ3" i="2" s="1"/>
  <c r="AR3" i="2" s="1"/>
  <c r="F20" i="1"/>
  <c r="E20" i="1"/>
  <c r="D20" i="1"/>
  <c r="B20" i="1"/>
  <c r="B14" i="2" s="1"/>
  <c r="AR2" i="2" s="1"/>
  <c r="H19" i="1"/>
  <c r="D13" i="2" s="1"/>
  <c r="AN3" i="2" s="1"/>
  <c r="AO3" i="2" s="1"/>
  <c r="F19" i="1"/>
  <c r="E19" i="1"/>
  <c r="D19" i="1"/>
  <c r="B19" i="1"/>
  <c r="B13" i="2" s="1"/>
  <c r="AO2" i="2" s="1"/>
  <c r="H18" i="1"/>
  <c r="D12" i="2" s="1"/>
  <c r="AK3" i="2" s="1"/>
  <c r="AL3" i="2" s="1"/>
  <c r="F18" i="1"/>
  <c r="E18" i="1"/>
  <c r="D18" i="1"/>
  <c r="B18" i="1"/>
  <c r="B12" i="2" s="1"/>
  <c r="AL2" i="2" s="1"/>
  <c r="H17" i="1"/>
  <c r="D11" i="2" s="1"/>
  <c r="AH3" i="2" s="1"/>
  <c r="AI3" i="2" s="1"/>
  <c r="F17" i="1"/>
  <c r="E17" i="1"/>
  <c r="D17" i="1"/>
  <c r="B17" i="1"/>
  <c r="B11" i="2" s="1"/>
  <c r="AI2" i="2" s="1"/>
  <c r="H16" i="1"/>
  <c r="D10" i="2" s="1"/>
  <c r="AE3" i="2" s="1"/>
  <c r="AF3" i="2" s="1"/>
  <c r="F16" i="1"/>
  <c r="E16" i="1"/>
  <c r="D16" i="1"/>
  <c r="B16" i="1"/>
  <c r="B10" i="2" s="1"/>
  <c r="AF2" i="2" s="1"/>
  <c r="H15" i="1"/>
  <c r="D9" i="2" s="1"/>
  <c r="AB3" i="2" s="1"/>
  <c r="AC3" i="2" s="1"/>
  <c r="F15" i="1"/>
  <c r="E15" i="1"/>
  <c r="D15" i="1"/>
  <c r="B15" i="1"/>
  <c r="B9" i="2" s="1"/>
  <c r="AC2" i="2" s="1"/>
  <c r="H14" i="1"/>
  <c r="D8" i="2" s="1"/>
  <c r="Y3" i="2" s="1"/>
  <c r="Z3" i="2" s="1"/>
  <c r="F14" i="1"/>
  <c r="E14" i="1"/>
  <c r="D14" i="1"/>
  <c r="B14" i="1"/>
  <c r="B8" i="2" s="1"/>
  <c r="Z2" i="2" s="1"/>
  <c r="H13" i="1"/>
  <c r="D7" i="2" s="1"/>
  <c r="V3" i="2" s="1"/>
  <c r="W3" i="2" s="1"/>
  <c r="F13" i="1"/>
  <c r="E13" i="1"/>
  <c r="D13" i="1"/>
  <c r="B13" i="1"/>
  <c r="B7" i="2" s="1"/>
  <c r="W2" i="2" s="1"/>
  <c r="F12" i="1"/>
  <c r="B12" i="1"/>
  <c r="B6" i="2" s="1"/>
  <c r="T2" i="2" s="1"/>
  <c r="B11" i="1"/>
  <c r="A5" i="3" s="1"/>
  <c r="B9" i="1"/>
  <c r="B3" i="2" s="1"/>
  <c r="K2" i="2" s="1"/>
  <c r="K8" i="1"/>
  <c r="J8" i="1"/>
  <c r="F8" i="1"/>
  <c r="F9" i="1" s="1"/>
  <c r="B8" i="1"/>
  <c r="H8" i="1" s="1"/>
  <c r="L5" i="1"/>
  <c r="L4" i="1"/>
  <c r="H3" i="1"/>
  <c r="B11" i="4" l="1"/>
  <c r="C15" i="8"/>
  <c r="G7" i="8" s="1"/>
  <c r="G9" i="1"/>
  <c r="A2" i="3"/>
  <c r="D10" i="1"/>
  <c r="D26" i="4"/>
  <c r="E10" i="4"/>
  <c r="A3" i="3"/>
  <c r="A6" i="3"/>
  <c r="D12" i="1"/>
  <c r="E12" i="1" s="1"/>
  <c r="H12" i="1"/>
  <c r="D6" i="2" s="1"/>
  <c r="S3" i="2" s="1"/>
  <c r="T3" i="2" s="1"/>
  <c r="H11" i="1"/>
  <c r="D5" i="2" s="1"/>
  <c r="P3" i="2" s="1"/>
  <c r="Q3" i="2" s="1"/>
  <c r="A4" i="3"/>
  <c r="D9" i="1"/>
  <c r="E9" i="1" s="1"/>
  <c r="H9" i="1"/>
  <c r="D3" i="2" s="1"/>
  <c r="J3" i="2" s="1"/>
  <c r="K3" i="2" s="1"/>
  <c r="I14" i="1"/>
  <c r="I18" i="1"/>
  <c r="G8" i="1"/>
  <c r="I20" i="1"/>
  <c r="I26" i="1"/>
  <c r="I22" i="1"/>
  <c r="G12" i="1"/>
  <c r="G23" i="1"/>
  <c r="G16" i="1"/>
  <c r="G19" i="1"/>
  <c r="G22" i="1"/>
  <c r="G25" i="1"/>
  <c r="G15" i="1"/>
  <c r="G21" i="1"/>
  <c r="G26" i="1"/>
  <c r="G14" i="1"/>
  <c r="G24" i="1"/>
  <c r="G27" i="1"/>
  <c r="G17" i="1"/>
  <c r="G13" i="1"/>
  <c r="AG3" i="2"/>
  <c r="AH2" i="2"/>
  <c r="D2" i="2"/>
  <c r="G3" i="2" s="1"/>
  <c r="H3" i="2" s="1"/>
  <c r="I8" i="1"/>
  <c r="B2" i="3" s="1"/>
  <c r="P2" i="2"/>
  <c r="O3" i="2"/>
  <c r="AN2" i="2"/>
  <c r="AM3" i="2"/>
  <c r="BL2" i="2"/>
  <c r="BK3" i="2"/>
  <c r="V2" i="2"/>
  <c r="U3" i="2"/>
  <c r="D4" i="2"/>
  <c r="M3" i="2" s="1"/>
  <c r="N3" i="2" s="1"/>
  <c r="I10" i="1"/>
  <c r="AK2" i="2"/>
  <c r="AJ3" i="2"/>
  <c r="BI2" i="2"/>
  <c r="BH3" i="2"/>
  <c r="BE3" i="2"/>
  <c r="BF2" i="2"/>
  <c r="M2" i="2"/>
  <c r="L3" i="2"/>
  <c r="AW2" i="2"/>
  <c r="AV3" i="2"/>
  <c r="G2" i="2"/>
  <c r="F3" i="2"/>
  <c r="AT2" i="2"/>
  <c r="AS3" i="2"/>
  <c r="Y2" i="2"/>
  <c r="X3" i="2"/>
  <c r="I3" i="2"/>
  <c r="J2" i="2"/>
  <c r="R3" i="2"/>
  <c r="AP3" i="2"/>
  <c r="I17" i="1"/>
  <c r="I25" i="1"/>
  <c r="B2" i="2"/>
  <c r="H2" i="2" s="1"/>
  <c r="AA3" i="2"/>
  <c r="AY3" i="2"/>
  <c r="B4" i="2"/>
  <c r="N2" i="2" s="1"/>
  <c r="I16" i="1"/>
  <c r="I24" i="1"/>
  <c r="D11" i="1"/>
  <c r="E11" i="1" s="1"/>
  <c r="D8" i="1"/>
  <c r="E8" i="1" s="1"/>
  <c r="E10" i="1"/>
  <c r="I15" i="1"/>
  <c r="I23" i="1"/>
  <c r="G20" i="1"/>
  <c r="AD3" i="2"/>
  <c r="BB3" i="2"/>
  <c r="F10" i="1"/>
  <c r="I13" i="1"/>
  <c r="I21" i="1"/>
  <c r="B5" i="2"/>
  <c r="Q2" i="2" s="1"/>
  <c r="G18" i="1"/>
  <c r="I19" i="1"/>
  <c r="I27" i="1"/>
  <c r="D7" i="8" l="1"/>
  <c r="D8" i="8"/>
  <c r="D5" i="8"/>
  <c r="D6" i="8"/>
  <c r="I12" i="1"/>
  <c r="B6" i="3" s="1"/>
  <c r="B17" i="3"/>
  <c r="B9" i="3"/>
  <c r="B14" i="3"/>
  <c r="B15" i="3"/>
  <c r="B7" i="3"/>
  <c r="B12" i="3"/>
  <c r="B18" i="3"/>
  <c r="B8" i="3"/>
  <c r="B11" i="3"/>
  <c r="B21" i="3"/>
  <c r="B10" i="3"/>
  <c r="B13" i="3"/>
  <c r="B16" i="3"/>
  <c r="B19" i="3"/>
  <c r="B20" i="3"/>
  <c r="C11" i="4"/>
  <c r="E11" i="4" s="1"/>
  <c r="B12" i="4"/>
  <c r="I11" i="1"/>
  <c r="B4" i="3"/>
  <c r="L7" i="1"/>
  <c r="I9" i="1"/>
  <c r="G10" i="1"/>
  <c r="F11" i="1"/>
  <c r="G11" i="1" s="1"/>
  <c r="D15" i="8" l="1"/>
  <c r="G8" i="8" s="1"/>
  <c r="B13" i="4"/>
  <c r="C12" i="4"/>
  <c r="E12" i="4" s="1"/>
  <c r="B5" i="3"/>
  <c r="B3" i="3"/>
  <c r="L6" i="1"/>
  <c r="G10" i="8" l="1"/>
  <c r="G9" i="8"/>
  <c r="C13" i="4"/>
  <c r="B14" i="4"/>
  <c r="E13" i="4" l="1"/>
  <c r="B15" i="4"/>
  <c r="C14" i="4"/>
  <c r="E14" i="4" s="1"/>
  <c r="C15" i="4" l="1"/>
  <c r="E15" i="4" s="1"/>
  <c r="B16" i="4"/>
  <c r="C16" i="4" l="1"/>
  <c r="E16" i="4" s="1"/>
  <c r="B17" i="4"/>
  <c r="C17" i="4" l="1"/>
  <c r="E17" i="4" s="1"/>
  <c r="B18" i="4"/>
  <c r="C18" i="4" l="1"/>
  <c r="E18" i="4" s="1"/>
  <c r="B19" i="4"/>
  <c r="C19" i="4" l="1"/>
  <c r="E19" i="4" s="1"/>
  <c r="B20" i="4"/>
  <c r="B21" i="4" l="1"/>
  <c r="C20" i="4"/>
  <c r="E20" i="4" s="1"/>
  <c r="C21" i="4" l="1"/>
  <c r="E21" i="4" s="1"/>
  <c r="B22" i="4"/>
  <c r="B23" i="4" l="1"/>
  <c r="C22" i="4"/>
  <c r="E22" i="4" s="1"/>
  <c r="C23" i="4" l="1"/>
  <c r="E23" i="4" s="1"/>
  <c r="B24" i="4"/>
  <c r="C24" i="4" l="1"/>
  <c r="C26" i="4" s="1"/>
  <c r="B26" i="4"/>
  <c r="E24" i="4" l="1"/>
  <c r="E26" i="4" s="1"/>
</calcChain>
</file>

<file path=xl/sharedStrings.xml><?xml version="1.0" encoding="utf-8"?>
<sst xmlns="http://schemas.openxmlformats.org/spreadsheetml/2006/main" count="205" uniqueCount="161">
  <si>
    <t>📊 Histogram – Sentralmål i gruppert materiale</t>
  </si>
  <si>
    <t>Instruksjon: Skriv inn siste øvre grense i B4, deretter nedre grenser i A8:A27, og frekvenser i C8:C27</t>
  </si>
  <si>
    <t>Siste øvre grense →</t>
  </si>
  <si>
    <t>Resultater</t>
  </si>
  <si>
    <t>Totalt antall (n)</t>
  </si>
  <si>
    <t>Nedre grense</t>
  </si>
  <si>
    <t>Øvre grense (auto)</t>
  </si>
  <si>
    <t>Frekvens</t>
  </si>
  <si>
    <t>Midtpunkt</t>
  </si>
  <si>
    <t>x · f</t>
  </si>
  <si>
    <t>Kumulativ frekv.</t>
  </si>
  <si>
    <t>H-hjelp (median)</t>
  </si>
  <si>
    <t>Bredde</t>
  </si>
  <si>
    <t>Høyde (f/bredde)</t>
  </si>
  <si>
    <t>Mediannummer</t>
  </si>
  <si>
    <t>Median</t>
  </si>
  <si>
    <t>Gjennomsnitt</t>
  </si>
  <si>
    <t>Nedre</t>
  </si>
  <si>
    <t>Øvre</t>
  </si>
  <si>
    <t>Frekv.</t>
  </si>
  <si>
    <t>Høyde</t>
  </si>
  <si>
    <t>Intervall</t>
  </si>
  <si>
    <t>AMORTISERINGSPLAN – Lånenedbetaling</t>
  </si>
  <si>
    <t>Lånets beløp (kr)</t>
  </si>
  <si>
    <t>Årlig rente (%)</t>
  </si>
  <si>
    <t>Låneperiode (år)</t>
  </si>
  <si>
    <t>År</t>
  </si>
  <si>
    <t>Restlån (kr)</t>
  </si>
  <si>
    <t>Renter (kr)</t>
  </si>
  <si>
    <t>Avdrag (kr)</t>
  </si>
  <si>
    <t>Sluttbalanse (kr)</t>
  </si>
  <si>
    <t>SUM</t>
  </si>
  <si>
    <t>Fyll inn blå celler: Lånets beløp, årlig rente (%) og låneperiode (år). Amortiseringsplanen beregnes automatisk.</t>
  </si>
  <si>
    <t>📐  Pytagoras-kalkulator</t>
  </si>
  <si>
    <t>Fyll inn to kjente sider — den ukjente beregnes automatisk. Legg inn 0 eller la feltet stå tomt for den siden du vil finne.</t>
  </si>
  <si>
    <t>TILFELLE 1  —  Finn hypotenusen  (c)</t>
  </si>
  <si>
    <t>Side</t>
  </si>
  <si>
    <t>Verdi</t>
  </si>
  <si>
    <t>Katet  a</t>
  </si>
  <si>
    <t>Katet  b</t>
  </si>
  <si>
    <t>Hypotenus  c  =</t>
  </si>
  <si>
    <t>Formel:  c = √(a² + b²)</t>
  </si>
  <si>
    <t>TILFELLE 2  —  Finn katet  a</t>
  </si>
  <si>
    <t>Hypotenus  c</t>
  </si>
  <si>
    <t>Katet  a  =</t>
  </si>
  <si>
    <t>Formel:  a = √(c² − b²)</t>
  </si>
  <si>
    <t>TILFELLE 3  —  Finn katet  b</t>
  </si>
  <si>
    <t>Katet  b  =</t>
  </si>
  <si>
    <t>Formel:  b = √(c² − a²)</t>
  </si>
  <si>
    <t>Forklaring</t>
  </si>
  <si>
    <t>Blå tall = input (endre her)</t>
  </si>
  <si>
    <t>Grønn = beregnet svar</t>
  </si>
  <si>
    <t>ENHETOMGJØRING - 1P/2P EKSAMEN</t>
  </si>
  <si>
    <t>VOLUM (Kubikkenheter)</t>
  </si>
  <si>
    <t>cm³ → m³</t>
  </si>
  <si>
    <t>Deling på 1 million</t>
  </si>
  <si>
    <t>m³ → cm³</t>
  </si>
  <si>
    <t>Multiplikasjon med 1 million</t>
  </si>
  <si>
    <t>Liter → m³</t>
  </si>
  <si>
    <t>1 m³ = 1000 liter</t>
  </si>
  <si>
    <t>m³ → Liter</t>
  </si>
  <si>
    <t>mm³ → cm³</t>
  </si>
  <si>
    <t>Deling på 1000</t>
  </si>
  <si>
    <t>cm³ → Liter</t>
  </si>
  <si>
    <t>1 cm³ = 1 mL</t>
  </si>
  <si>
    <t>LENGDE</t>
  </si>
  <si>
    <t>mm → cm</t>
  </si>
  <si>
    <t>Deling på 10</t>
  </si>
  <si>
    <t>cm → m</t>
  </si>
  <si>
    <t>Deling på 100</t>
  </si>
  <si>
    <t>m → km</t>
  </si>
  <si>
    <t>mm → m</t>
  </si>
  <si>
    <t>km → m</t>
  </si>
  <si>
    <t>Multiplikasjon med 1000</t>
  </si>
  <si>
    <t>m → cm</t>
  </si>
  <si>
    <t>Multiplikasjon med 100</t>
  </si>
  <si>
    <t>AREAL (kvadratenheter)</t>
  </si>
  <si>
    <t>mm² → cm²</t>
  </si>
  <si>
    <t>cm² → m²</t>
  </si>
  <si>
    <t>Deling på 10000</t>
  </si>
  <si>
    <t>m² → km²</t>
  </si>
  <si>
    <t>m² → cm²</t>
  </si>
  <si>
    <t>Multiplikasjon med 10000</t>
  </si>
  <si>
    <t>km² → m²</t>
  </si>
  <si>
    <t>Dekar → m²</t>
  </si>
  <si>
    <t>1 dekar = 1000 m²</t>
  </si>
  <si>
    <t>HASTIGHET</t>
  </si>
  <si>
    <t>m/s → km/h</t>
  </si>
  <si>
    <t>Multiplikasjon med 3,6</t>
  </si>
  <si>
    <t>km/h → m/s</t>
  </si>
  <si>
    <t>Deling på 3,6</t>
  </si>
  <si>
    <t>TEMPERATUR</t>
  </si>
  <si>
    <t>°C → °F</t>
  </si>
  <si>
    <t>Multiplikasjon og addisjon</t>
  </si>
  <si>
    <t>°F → °C</t>
  </si>
  <si>
    <t>Subtraksjon og divisjon</t>
  </si>
  <si>
    <t>°C → K</t>
  </si>
  <si>
    <t>Kelvin = Celsius + 273,15</t>
  </si>
  <si>
    <t>FREKVENSTABELL – Gjennomsnitt og Standardavvik</t>
  </si>
  <si>
    <t>GUIDE</t>
  </si>
  <si>
    <t>Fyll inn Observasjon og Frekvens (blå celler). Alle beregninger skjer automatisk.</t>
  </si>
  <si>
    <t>Observasjon (x)</t>
  </si>
  <si>
    <t>Frekvens (f)</t>
  </si>
  <si>
    <t>1. Fyll inn observasjoner (blå) i kolonne A</t>
  </si>
  <si>
    <t>Sum f·x</t>
  </si>
  <si>
    <t>2. Fyll inn tilhørende frekvenser (blå) i kolonne B</t>
  </si>
  <si>
    <t>3. Alle beregninger oppdateres automatisk</t>
  </si>
  <si>
    <t>Sum (x−x̄)²·f</t>
  </si>
  <si>
    <t>Varians (s²)</t>
  </si>
  <si>
    <t>Tips:</t>
  </si>
  <si>
    <t>Standardavvik (s)</t>
  </si>
  <si>
    <t>• Bruk maks 10 observasjoner</t>
  </si>
  <si>
    <t>• La tomme rader stå tomme</t>
  </si>
  <si>
    <t>• Formlene håndterer tomme celler</t>
  </si>
  <si>
    <t>Screenshot av tabellen:</t>
  </si>
  <si>
    <t>Shift + Windows + S</t>
  </si>
  <si>
    <t>Screenshot med formler:</t>
  </si>
  <si>
    <t>Formler → Vis formler,</t>
  </si>
  <si>
    <t>ta screenshot, lim i Word</t>
  </si>
  <si>
    <t>Frekvenstabell</t>
  </si>
  <si>
    <t>Pytagoras-kalkulator</t>
  </si>
  <si>
    <t>Omgjøring av enheter</t>
  </si>
  <si>
    <t>Histogram</t>
  </si>
  <si>
    <t xml:space="preserve">Nedbetaling av lån </t>
  </si>
  <si>
    <t>Mattetype</t>
  </si>
  <si>
    <t>1P</t>
  </si>
  <si>
    <t>1P og 2P</t>
  </si>
  <si>
    <t>2P</t>
  </si>
  <si>
    <t>Gjennomsnitt (x̄)</t>
  </si>
  <si>
    <t>(x − x̄)² · f (brukes for standardavvik)</t>
  </si>
  <si>
    <t>frekvens · observasjon</t>
  </si>
  <si>
    <t>Snarveier</t>
  </si>
  <si>
    <t>📈 FINN NY VERDI</t>
  </si>
  <si>
    <t xml:space="preserve">  Formel: Ny verdi = Opprinnelig verdi × (1 + Prosentvis endring / 100)</t>
  </si>
  <si>
    <t>Felt</t>
  </si>
  <si>
    <t>Tall</t>
  </si>
  <si>
    <t>Opprinnelig verdi</t>
  </si>
  <si>
    <t xml:space="preserve">  Skriv inn utgangsverdien din her</t>
  </si>
  <si>
    <t>Prosentvis endring (%)</t>
  </si>
  <si>
    <t xml:space="preserve">  Positiv = økning, negativ = reduksjon</t>
  </si>
  <si>
    <t>RESULTAT</t>
  </si>
  <si>
    <t>✅ Ny verdi</t>
  </si>
  <si>
    <t xml:space="preserve">  Automatisk beregnet</t>
  </si>
  <si>
    <t>📊 Faktisk endring</t>
  </si>
  <si>
    <t xml:space="preserve">  Differansen i absolutt verdi</t>
  </si>
  <si>
    <t>🔍 FINN OPPRINNELIG VERDI</t>
  </si>
  <si>
    <t xml:space="preserve">  Formel: Opprinnelig verdi = Ny verdi ÷ (1 + Prosentvis endring / 100)</t>
  </si>
  <si>
    <t>Ny verdi (etter endring)</t>
  </si>
  <si>
    <t xml:space="preserve">  Skriv inn verdien etter endringen</t>
  </si>
  <si>
    <t>✅ Opprinnelig verdi</t>
  </si>
  <si>
    <t>📉 FINN PROSENTVIS ENDRING</t>
  </si>
  <si>
    <t xml:space="preserve">  Formel: % endring = (Ny verdi − Opprinnelig verdi) ÷ Opprinnelig verdi × 100</t>
  </si>
  <si>
    <t xml:space="preserve">  Startverdien (før endringen)</t>
  </si>
  <si>
    <t>Ny verdi</t>
  </si>
  <si>
    <t xml:space="preserve">  Sluttverdien (etter endringen)</t>
  </si>
  <si>
    <t>✅ Prosentvis endring</t>
  </si>
  <si>
    <t xml:space="preserve">  I prosent (%) — negativt = reduksjon</t>
  </si>
  <si>
    <t>🔁 Formatert</t>
  </si>
  <si>
    <t xml:space="preserve">  Samme som over, men med %-tegn</t>
  </si>
  <si>
    <t>Prosentregning</t>
  </si>
  <si>
    <r>
      <t>Lykke til med eksamen! Hilsen Snorre Saus</t>
    </r>
    <r>
      <rPr>
        <sz val="15"/>
        <color rgb="FF2EC4A1"/>
        <rFont val="Arial"/>
        <family val="2"/>
      </rPr>
      <t>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</si>
</sst>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#"/>
    <numFmt numFmtId="165" formatCode="0.0000"/>
  </numFmts>
  <fonts count="4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rgb="FF154360"/>
      <name val="Arial"/>
      <family val="2"/>
    </font>
    <font>
      <sz val="9"/>
      <color rgb="FF7F8C8D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0"/>
      <color rgb="FF145A32"/>
      <name val="Arial"/>
      <family val="2"/>
    </font>
    <font>
      <b/>
      <sz val="9"/>
      <color rgb="FFFFFFFF"/>
      <name val="Arial"/>
      <family val="2"/>
    </font>
    <font>
      <i/>
      <sz val="9"/>
      <color rgb="FF555555"/>
      <name val="Arial"/>
      <family val="2"/>
    </font>
    <font>
      <b/>
      <sz val="13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595959"/>
      <name val="Arial"/>
      <family val="2"/>
    </font>
    <font>
      <u/>
      <sz val="11"/>
      <color theme="10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1F4E79"/>
      <name val="Arial"/>
      <family val="2"/>
    </font>
    <font>
      <b/>
      <sz val="12"/>
      <color rgb="FF0000FF"/>
      <name val="Arial"/>
      <family val="2"/>
    </font>
    <font>
      <b/>
      <sz val="13"/>
      <color rgb="FF1F4E79"/>
      <name val="Arial"/>
      <family val="2"/>
    </font>
    <font>
      <b/>
      <sz val="10"/>
      <color rgb="FF0000FF"/>
      <name val="Arial"/>
      <family val="2"/>
    </font>
    <font>
      <b/>
      <sz val="10"/>
      <color rgb="FF375623"/>
      <name val="Arial"/>
      <family val="2"/>
    </font>
    <font>
      <b/>
      <sz val="14"/>
      <color rgb="FFFFFFFF"/>
      <name val="Oslo"/>
    </font>
    <font>
      <sz val="11"/>
      <color theme="1"/>
      <name val="Oslo"/>
    </font>
    <font>
      <b/>
      <sz val="12"/>
      <color rgb="FFFFFFFF"/>
      <name val="Oslo"/>
    </font>
    <font>
      <b/>
      <sz val="11"/>
      <name val="Oslo"/>
    </font>
    <font>
      <sz val="11"/>
      <color rgb="FF000000"/>
      <name val="Oslo"/>
    </font>
    <font>
      <i/>
      <sz val="9"/>
      <name val="Oslo"/>
    </font>
    <font>
      <sz val="11"/>
      <color theme="1"/>
      <name val="Aptos Narrow"/>
      <family val="2"/>
      <charset val="1"/>
    </font>
    <font>
      <sz val="11"/>
      <name val="Cambria"/>
      <family val="1"/>
    </font>
    <font>
      <b/>
      <sz val="12"/>
      <color rgb="FFFFFFFF"/>
      <name val="Arial"/>
      <family val="2"/>
    </font>
    <font>
      <b/>
      <sz val="25"/>
      <color theme="0"/>
      <name val="Arial"/>
      <family val="2"/>
    </font>
    <font>
      <u/>
      <sz val="25"/>
      <color rgb="FF2EC4A1"/>
      <name val="Arial"/>
      <family val="2"/>
    </font>
    <font>
      <sz val="25"/>
      <color theme="0"/>
      <name val="Arial"/>
      <family val="2"/>
    </font>
    <font>
      <i/>
      <sz val="10"/>
      <color rgb="FF000000"/>
      <name val="Arial"/>
      <family val="2"/>
    </font>
    <font>
      <sz val="15"/>
      <color theme="1"/>
      <name val="Arial"/>
      <family val="2"/>
    </font>
    <font>
      <sz val="15"/>
      <color rgb="FF2EC4A1"/>
      <name val="Arial"/>
      <family val="2"/>
    </font>
    <font>
      <b/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C3E50"/>
        <bgColor rgb="FF154360"/>
      </patternFill>
    </fill>
    <fill>
      <patternFill patternType="solid">
        <fgColor rgb="FFF8F9FA"/>
        <bgColor rgb="FFFFFFFF"/>
      </patternFill>
    </fill>
    <fill>
      <patternFill patternType="solid">
        <fgColor rgb="FFEBF5FB"/>
        <bgColor rgb="FFF8F9FA"/>
      </patternFill>
    </fill>
    <fill>
      <patternFill patternType="solid">
        <fgColor rgb="FF1A5276"/>
        <bgColor rgb="FF154360"/>
      </patternFill>
    </fill>
    <fill>
      <patternFill patternType="solid">
        <fgColor rgb="FFD5F5E3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FF2CC"/>
      </patternFill>
    </fill>
    <fill>
      <patternFill patternType="solid">
        <fgColor rgb="FFDCE6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DEEFF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1FBB96"/>
        <bgColor rgb="FF1F4E78"/>
      </patternFill>
    </fill>
    <fill>
      <patternFill patternType="solid">
        <fgColor rgb="FF1FBB96"/>
        <bgColor rgb="FF003366"/>
      </patternFill>
    </fill>
    <fill>
      <patternFill patternType="solid">
        <fgColor rgb="FF1FBB96"/>
        <bgColor rgb="FF333333"/>
      </patternFill>
    </fill>
    <fill>
      <patternFill patternType="solid">
        <fgColor rgb="FF1FBB96"/>
        <bgColor indexed="64"/>
      </patternFill>
    </fill>
    <fill>
      <patternFill patternType="solid">
        <fgColor rgb="FF2E3047"/>
        <bgColor indexed="64"/>
      </patternFill>
    </fill>
    <fill>
      <patternFill patternType="solid">
        <fgColor rgb="FF2E3047"/>
        <bgColor rgb="FF203864"/>
      </patternFill>
    </fill>
    <fill>
      <patternFill patternType="solid">
        <fgColor rgb="FF2E3047"/>
        <bgColor rgb="FF1F3864"/>
      </patternFill>
    </fill>
    <fill>
      <patternFill patternType="solid">
        <fgColor rgb="FF373A4B"/>
        <bgColor indexed="64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2EC4A1"/>
        <bgColor rgb="FF333300"/>
      </patternFill>
    </fill>
    <fill>
      <patternFill patternType="solid">
        <fgColor rgb="FF1FBB96"/>
        <bgColor rgb="FFDCE6F1"/>
      </patternFill>
    </fill>
    <fill>
      <patternFill patternType="solid">
        <fgColor rgb="FF1FBB96"/>
        <bgColor rgb="FF4472C4"/>
      </patternFill>
    </fill>
    <fill>
      <patternFill patternType="solid">
        <fgColor rgb="FF2E3047"/>
        <bgColor rgb="FF666699"/>
      </patternFill>
    </fill>
  </fills>
  <borders count="6">
    <border>
      <left/>
      <right/>
      <top/>
      <bottom/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1" fillId="0" borderId="0" applyBorder="0" applyAlignment="0" applyProtection="0"/>
    <xf numFmtId="0" fontId="18" fillId="0" borderId="0" applyNumberFormat="0" applyFill="0" applyBorder="0" applyAlignment="0" applyProtection="0"/>
    <xf numFmtId="0" fontId="31" fillId="0" borderId="0"/>
  </cellStyleXfs>
  <cellXfs count="91">
    <xf numFmtId="0" fontId="0" fillId="0" borderId="0" xfId="0"/>
    <xf numFmtId="0" fontId="11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6" fillId="0" borderId="0" xfId="0" applyFont="1"/>
    <xf numFmtId="0" fontId="8" fillId="4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7" fillId="2" borderId="0" xfId="0" applyFont="1" applyFill="1"/>
    <xf numFmtId="0" fontId="13" fillId="0" borderId="0" xfId="0" applyFont="1" applyAlignment="1">
      <alignment horizontal="left" vertical="center"/>
    </xf>
    <xf numFmtId="4" fontId="14" fillId="8" borderId="2" xfId="0" applyNumberFormat="1" applyFont="1" applyFill="1" applyBorder="1" applyAlignment="1">
      <alignment horizontal="right" vertical="center"/>
    </xf>
    <xf numFmtId="2" fontId="14" fillId="8" borderId="2" xfId="1" applyNumberFormat="1" applyFont="1" applyFill="1" applyBorder="1" applyAlignment="1">
      <alignment horizontal="right" vertical="center"/>
    </xf>
    <xf numFmtId="1" fontId="14" fillId="8" borderId="2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7" fillId="10" borderId="2" xfId="0" applyFont="1" applyFill="1" applyBorder="1" applyAlignment="1">
      <alignment horizontal="center" vertical="center"/>
    </xf>
    <xf numFmtId="1" fontId="16" fillId="11" borderId="2" xfId="0" applyNumberFormat="1" applyFont="1" applyFill="1" applyBorder="1" applyAlignment="1">
      <alignment horizontal="center" vertical="center"/>
    </xf>
    <xf numFmtId="4" fontId="16" fillId="11" borderId="2" xfId="0" applyNumberFormat="1" applyFont="1" applyFill="1" applyBorder="1" applyAlignment="1">
      <alignment horizontal="right" vertical="center"/>
    </xf>
    <xf numFmtId="1" fontId="16" fillId="12" borderId="2" xfId="0" applyNumberFormat="1" applyFont="1" applyFill="1" applyBorder="1" applyAlignment="1">
      <alignment horizontal="center" vertical="center"/>
    </xf>
    <xf numFmtId="4" fontId="16" fillId="12" borderId="2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 vertical="center" wrapText="1"/>
    </xf>
    <xf numFmtId="0" fontId="20" fillId="14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left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0" fillId="16" borderId="0" xfId="0" applyFill="1"/>
    <xf numFmtId="0" fontId="16" fillId="16" borderId="3" xfId="0" applyFont="1" applyFill="1" applyBorder="1" applyAlignment="1">
      <alignment horizontal="left" vertical="center" wrapText="1"/>
    </xf>
    <xf numFmtId="0" fontId="21" fillId="17" borderId="3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left" vertical="center" wrapText="1"/>
    </xf>
    <xf numFmtId="165" fontId="22" fillId="18" borderId="4" xfId="0" applyNumberFormat="1" applyFont="1" applyFill="1" applyBorder="1" applyAlignment="1">
      <alignment horizontal="center" vertical="center" wrapText="1"/>
    </xf>
    <xf numFmtId="0" fontId="17" fillId="16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23" fillId="17" borderId="4" xfId="0" applyFont="1" applyFill="1" applyBorder="1" applyAlignment="1">
      <alignment horizontal="center" vertical="center" wrapText="1"/>
    </xf>
    <xf numFmtId="0" fontId="24" fillId="18" borderId="4" xfId="0" applyFont="1" applyFill="1" applyBorder="1" applyAlignment="1">
      <alignment horizontal="center" vertical="center" wrapText="1"/>
    </xf>
    <xf numFmtId="4" fontId="16" fillId="0" borderId="0" xfId="0" applyNumberFormat="1" applyFont="1" applyFill="1" applyBorder="1" applyAlignment="1">
      <alignment horizontal="right" vertical="center"/>
    </xf>
    <xf numFmtId="0" fontId="26" fillId="0" borderId="0" xfId="0" applyFont="1"/>
    <xf numFmtId="0" fontId="28" fillId="0" borderId="0" xfId="0" applyFont="1"/>
    <xf numFmtId="0" fontId="29" fillId="19" borderId="2" xfId="0" applyFont="1" applyFill="1" applyBorder="1"/>
    <xf numFmtId="165" fontId="26" fillId="20" borderId="2" xfId="0" applyNumberFormat="1" applyFont="1" applyFill="1" applyBorder="1"/>
    <xf numFmtId="0" fontId="30" fillId="0" borderId="0" xfId="0" applyFont="1"/>
    <xf numFmtId="0" fontId="25" fillId="22" borderId="0" xfId="0" applyFont="1" applyFill="1" applyAlignment="1">
      <alignment horizontal="center" vertical="center"/>
    </xf>
    <xf numFmtId="0" fontId="12" fillId="24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left"/>
    </xf>
    <xf numFmtId="0" fontId="32" fillId="0" borderId="0" xfId="0" applyFont="1"/>
    <xf numFmtId="0" fontId="33" fillId="7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left" vertical="center" wrapText="1"/>
    </xf>
    <xf numFmtId="2" fontId="14" fillId="21" borderId="2" xfId="0" applyNumberFormat="1" applyFont="1" applyFill="1" applyBorder="1" applyAlignment="1">
      <alignment horizontal="center" vertical="center"/>
    </xf>
    <xf numFmtId="1" fontId="14" fillId="21" borderId="2" xfId="0" applyNumberFormat="1" applyFont="1" applyFill="1" applyBorder="1" applyAlignment="1">
      <alignment horizontal="center" vertical="center"/>
    </xf>
    <xf numFmtId="2" fontId="16" fillId="21" borderId="2" xfId="0" applyNumberFormat="1" applyFont="1" applyFill="1" applyBorder="1" applyAlignment="1">
      <alignment horizontal="center" vertical="center"/>
    </xf>
    <xf numFmtId="165" fontId="16" fillId="21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1" fontId="16" fillId="9" borderId="2" xfId="0" applyNumberFormat="1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left" vertical="center" wrapText="1"/>
    </xf>
    <xf numFmtId="2" fontId="14" fillId="12" borderId="2" xfId="0" applyNumberFormat="1" applyFont="1" applyFill="1" applyBorder="1" applyAlignment="1">
      <alignment horizontal="center" vertical="center"/>
    </xf>
    <xf numFmtId="1" fontId="14" fillId="12" borderId="2" xfId="0" applyNumberFormat="1" applyFont="1" applyFill="1" applyBorder="1" applyAlignment="1">
      <alignment horizontal="center" vertical="center"/>
    </xf>
    <xf numFmtId="2" fontId="16" fillId="12" borderId="2" xfId="0" applyNumberFormat="1" applyFont="1" applyFill="1" applyBorder="1" applyAlignment="1">
      <alignment horizontal="center" vertical="center"/>
    </xf>
    <xf numFmtId="165" fontId="16" fillId="12" borderId="2" xfId="0" applyNumberFormat="1" applyFont="1" applyFill="1" applyBorder="1" applyAlignment="1">
      <alignment horizontal="center" vertical="center"/>
    </xf>
    <xf numFmtId="0" fontId="13" fillId="21" borderId="2" xfId="0" applyFont="1" applyFill="1" applyBorder="1" applyAlignment="1">
      <alignment horizontal="left" vertical="center"/>
    </xf>
    <xf numFmtId="2" fontId="16" fillId="9" borderId="2" xfId="0" applyNumberFormat="1" applyFont="1" applyFill="1" applyBorder="1" applyAlignment="1">
      <alignment horizontal="center" vertical="center"/>
    </xf>
    <xf numFmtId="165" fontId="16" fillId="9" borderId="2" xfId="0" applyNumberFormat="1" applyFont="1" applyFill="1" applyBorder="1" applyAlignment="1">
      <alignment horizontal="center" vertical="center"/>
    </xf>
    <xf numFmtId="1" fontId="7" fillId="10" borderId="2" xfId="0" applyNumberFormat="1" applyFont="1" applyFill="1" applyBorder="1" applyAlignment="1">
      <alignment horizontal="center" vertical="center"/>
    </xf>
    <xf numFmtId="2" fontId="7" fillId="10" borderId="2" xfId="0" applyNumberFormat="1" applyFont="1" applyFill="1" applyBorder="1" applyAlignment="1">
      <alignment horizontal="center" vertical="center"/>
    </xf>
    <xf numFmtId="165" fontId="7" fillId="10" borderId="2" xfId="0" applyNumberFormat="1" applyFon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19" fillId="23" borderId="0" xfId="0" applyFont="1" applyFill="1" applyBorder="1" applyAlignment="1">
      <alignment horizontal="center" vertical="center" wrapText="1"/>
    </xf>
    <xf numFmtId="0" fontId="34" fillId="25" borderId="2" xfId="0" applyFont="1" applyFill="1" applyBorder="1"/>
    <xf numFmtId="0" fontId="35" fillId="29" borderId="2" xfId="2" applyFont="1" applyFill="1" applyBorder="1"/>
    <xf numFmtId="0" fontId="36" fillId="29" borderId="2" xfId="0" applyFont="1" applyFill="1" applyBorder="1"/>
    <xf numFmtId="0" fontId="35" fillId="26" borderId="2" xfId="2" applyFont="1" applyFill="1" applyBorder="1"/>
    <xf numFmtId="0" fontId="36" fillId="26" borderId="2" xfId="0" applyFont="1" applyFill="1" applyBorder="1"/>
    <xf numFmtId="0" fontId="38" fillId="0" borderId="0" xfId="0" applyFont="1"/>
    <xf numFmtId="0" fontId="36" fillId="26" borderId="0" xfId="0" applyFont="1" applyFill="1"/>
    <xf numFmtId="0" fontId="15" fillId="33" borderId="2" xfId="0" applyFont="1" applyFill="1" applyBorder="1" applyAlignment="1">
      <alignment horizontal="center" vertical="center"/>
    </xf>
    <xf numFmtId="4" fontId="15" fillId="33" borderId="2" xfId="0" applyNumberFormat="1" applyFont="1" applyFill="1" applyBorder="1" applyAlignment="1">
      <alignment horizontal="right" vertical="center"/>
    </xf>
    <xf numFmtId="0" fontId="12" fillId="34" borderId="2" xfId="0" applyFont="1" applyFill="1" applyBorder="1" applyAlignment="1">
      <alignment horizontal="center" vertical="center" wrapText="1"/>
    </xf>
    <xf numFmtId="0" fontId="37" fillId="30" borderId="2" xfId="0" applyFont="1" applyFill="1" applyBorder="1" applyAlignment="1">
      <alignment horizontal="left" vertical="center"/>
    </xf>
    <xf numFmtId="0" fontId="40" fillId="26" borderId="2" xfId="0" applyFont="1" applyFill="1" applyBorder="1" applyAlignment="1">
      <alignment horizontal="left" vertical="center"/>
    </xf>
    <xf numFmtId="0" fontId="40" fillId="35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/>
    </xf>
    <xf numFmtId="0" fontId="14" fillId="8" borderId="2" xfId="0" applyFont="1" applyFill="1" applyBorder="1" applyAlignment="1">
      <alignment horizontal="center" vertical="center"/>
    </xf>
    <xf numFmtId="0" fontId="37" fillId="30" borderId="2" xfId="0" applyFont="1" applyFill="1" applyBorder="1" applyAlignment="1">
      <alignment horizontal="left" vertical="center"/>
    </xf>
    <xf numFmtId="0" fontId="7" fillId="32" borderId="2" xfId="0" applyFont="1" applyFill="1" applyBorder="1" applyAlignment="1">
      <alignment horizontal="center" vertical="center" wrapText="1"/>
    </xf>
    <xf numFmtId="2" fontId="15" fillId="31" borderId="2" xfId="0" applyNumberFormat="1" applyFont="1" applyFill="1" applyBorder="1" applyAlignment="1">
      <alignment horizontal="center" vertical="center"/>
    </xf>
    <xf numFmtId="4" fontId="15" fillId="31" borderId="2" xfId="0" applyNumberFormat="1" applyFont="1" applyFill="1" applyBorder="1" applyAlignment="1">
      <alignment horizontal="center" vertical="center"/>
    </xf>
    <xf numFmtId="0" fontId="15" fillId="31" borderId="2" xfId="0" applyFont="1" applyFill="1" applyBorder="1" applyAlignment="1">
      <alignment horizontal="center" vertical="center"/>
    </xf>
    <xf numFmtId="0" fontId="7" fillId="35" borderId="2" xfId="0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3" xr:uid="{1C4A8ED6-880E-4241-9F9A-A82EF0B9C38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2980B9"/>
      <rgbColor rgb="FFC0C0C0"/>
      <rgbColor rgb="FF878787"/>
      <rgbColor rgb="FF9999FF"/>
      <rgbColor rgb="FF993366"/>
      <rgbColor rgb="FFF8F9FA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7F8C8D"/>
      <rgbColor rgb="FF154360"/>
      <rgbColor rgb="FF339966"/>
      <rgbColor rgb="FF003300"/>
      <rgbColor rgb="FF333300"/>
      <rgbColor rgb="FF993300"/>
      <rgbColor rgb="FF993366"/>
      <rgbColor rgb="FF1A5276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CCCCFF"/>
      <color rgb="FFFFCCCC"/>
      <color rgb="FF2E3047"/>
      <color rgb="FF1FBB96"/>
      <color rgb="FF373A4B"/>
      <color rgb="FFFF7C80"/>
      <color rgb="FF2EC4A1"/>
      <color rgb="FF4E547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Histogram – frekvenstetthet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Høyde (f/bredde)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Histogram!$A$2:$A$21</c:f>
            </c:strRef>
          </c:cat>
          <c:val>
            <c:numRef>
              <c:f>Histogram!$B$2:$B$21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4-498D-A1C0-B86E49D3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2437556"/>
        <c:axId val="13350489"/>
      </c:barChart>
      <c:catAx>
        <c:axId val="824375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Intervall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50489"/>
        <c:crosses val="autoZero"/>
        <c:auto val="1"/>
        <c:lblAlgn val="ctr"/>
        <c:lblOffset val="100"/>
        <c:noMultiLvlLbl val="0"/>
      </c:catAx>
      <c:valAx>
        <c:axId val="13350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Høyde (frekvens / klassebredde)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4375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581400</xdr:colOff>
      <xdr:row>27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1"/>
  <sheetViews>
    <sheetView zoomScaleNormal="100" workbookViewId="0"/>
  </sheetViews>
  <sheetFormatPr defaultColWidth="8.6640625" defaultRowHeight="14.4"/>
  <sheetData>
    <row r="1" spans="1:65" ht="15" customHeight="1">
      <c r="A1" t="s">
        <v>17</v>
      </c>
      <c r="B1" t="s">
        <v>18</v>
      </c>
      <c r="C1" t="s">
        <v>19</v>
      </c>
      <c r="D1" t="s">
        <v>20</v>
      </c>
    </row>
    <row r="2" spans="1:65" ht="15" customHeight="1">
      <c r="A2">
        <f>IF('Inndata til histogram'!A8="",0,'Inndata til histogram'!A8)</f>
        <v>0</v>
      </c>
      <c r="B2" t="str">
        <f>'Inndata til histogram'!B8</f>
        <v/>
      </c>
      <c r="C2">
        <f>'Inndata til histogram'!C8</f>
        <v>0</v>
      </c>
      <c r="D2">
        <f>IF(AND('Inndata til histogram'!A8&lt;&gt;"",'Inndata til histogram'!H8&lt;&gt;"",'Inndata til histogram'!H8&lt;&gt;0),'Inndata til histogram'!C8/'Inndata til histogram'!H8,0)</f>
        <v>0</v>
      </c>
      <c r="F2">
        <f>A2</f>
        <v>0</v>
      </c>
      <c r="G2">
        <f>F2</f>
        <v>0</v>
      </c>
      <c r="H2" t="str">
        <f>B2</f>
        <v/>
      </c>
      <c r="I2">
        <f>A3</f>
        <v>0</v>
      </c>
      <c r="J2">
        <f>I2</f>
        <v>0</v>
      </c>
      <c r="K2" t="str">
        <f>B3</f>
        <v/>
      </c>
      <c r="L2">
        <f>A4</f>
        <v>0</v>
      </c>
      <c r="M2">
        <f>L2</f>
        <v>0</v>
      </c>
      <c r="N2" t="str">
        <f>B4</f>
        <v/>
      </c>
      <c r="O2">
        <f>A5</f>
        <v>0</v>
      </c>
      <c r="P2">
        <f>O2</f>
        <v>0</v>
      </c>
      <c r="Q2" t="str">
        <f>B5</f>
        <v/>
      </c>
      <c r="R2">
        <f>A6</f>
        <v>0</v>
      </c>
      <c r="S2">
        <f>R2</f>
        <v>0</v>
      </c>
      <c r="T2" t="str">
        <f>B6</f>
        <v/>
      </c>
      <c r="U2">
        <f>A7</f>
        <v>0</v>
      </c>
      <c r="V2">
        <f>U2</f>
        <v>0</v>
      </c>
      <c r="W2" t="str">
        <f>B7</f>
        <v/>
      </c>
      <c r="X2">
        <f>A8</f>
        <v>0</v>
      </c>
      <c r="Y2">
        <f>X2</f>
        <v>0</v>
      </c>
      <c r="Z2" t="str">
        <f>B8</f>
        <v/>
      </c>
      <c r="AA2">
        <f>A9</f>
        <v>0</v>
      </c>
      <c r="AB2">
        <f>AA2</f>
        <v>0</v>
      </c>
      <c r="AC2" t="str">
        <f>B9</f>
        <v/>
      </c>
      <c r="AD2">
        <f>A10</f>
        <v>0</v>
      </c>
      <c r="AE2">
        <f>AD2</f>
        <v>0</v>
      </c>
      <c r="AF2" t="str">
        <f>B10</f>
        <v/>
      </c>
      <c r="AG2">
        <f>A11</f>
        <v>0</v>
      </c>
      <c r="AH2">
        <f>AG2</f>
        <v>0</v>
      </c>
      <c r="AI2" t="str">
        <f>B11</f>
        <v/>
      </c>
      <c r="AJ2">
        <f>A12</f>
        <v>0</v>
      </c>
      <c r="AK2">
        <f>AJ2</f>
        <v>0</v>
      </c>
      <c r="AL2" t="str">
        <f>B12</f>
        <v/>
      </c>
      <c r="AM2">
        <f>A13</f>
        <v>0</v>
      </c>
      <c r="AN2">
        <f>AM2</f>
        <v>0</v>
      </c>
      <c r="AO2" t="str">
        <f>B13</f>
        <v/>
      </c>
      <c r="AP2">
        <f>A14</f>
        <v>0</v>
      </c>
      <c r="AQ2">
        <f>AP2</f>
        <v>0</v>
      </c>
      <c r="AR2" t="str">
        <f>B14</f>
        <v/>
      </c>
      <c r="AS2">
        <f>A15</f>
        <v>0</v>
      </c>
      <c r="AT2">
        <f>AS2</f>
        <v>0</v>
      </c>
      <c r="AU2" t="str">
        <f>B15</f>
        <v/>
      </c>
      <c r="AV2">
        <f>A16</f>
        <v>0</v>
      </c>
      <c r="AW2">
        <f>AV2</f>
        <v>0</v>
      </c>
      <c r="AX2" t="str">
        <f>B16</f>
        <v/>
      </c>
      <c r="AY2">
        <f>A17</f>
        <v>0</v>
      </c>
      <c r="AZ2">
        <f>AY2</f>
        <v>0</v>
      </c>
      <c r="BA2" t="str">
        <f>B17</f>
        <v/>
      </c>
      <c r="BB2">
        <f>A18</f>
        <v>0</v>
      </c>
      <c r="BC2">
        <f>BB2</f>
        <v>0</v>
      </c>
      <c r="BD2" t="str">
        <f>B18</f>
        <v/>
      </c>
      <c r="BE2">
        <f>A19</f>
        <v>0</v>
      </c>
      <c r="BF2">
        <f>BE2</f>
        <v>0</v>
      </c>
      <c r="BG2" t="str">
        <f>B19</f>
        <v/>
      </c>
      <c r="BH2">
        <f>A20</f>
        <v>0</v>
      </c>
      <c r="BI2">
        <f>BH2</f>
        <v>0</v>
      </c>
      <c r="BJ2" t="str">
        <f>B20</f>
        <v/>
      </c>
      <c r="BK2">
        <f>A21</f>
        <v>0</v>
      </c>
      <c r="BL2">
        <f>BK2</f>
        <v>0</v>
      </c>
      <c r="BM2" t="str">
        <f>B21</f>
        <v/>
      </c>
    </row>
    <row r="3" spans="1:65" ht="15" customHeight="1">
      <c r="A3">
        <f>IF('Inndata til histogram'!A9="",0,'Inndata til histogram'!A9)</f>
        <v>0</v>
      </c>
      <c r="B3" t="str">
        <f>'Inndata til histogram'!B9</f>
        <v/>
      </c>
      <c r="C3">
        <f>'Inndata til histogram'!C9</f>
        <v>0</v>
      </c>
      <c r="D3">
        <f>IF(AND('Inndata til histogram'!A9&lt;&gt;"",'Inndata til histogram'!H9&lt;&gt;"",'Inndata til histogram'!H9&lt;&gt;0),'Inndata til histogram'!C9/'Inndata til histogram'!H9,0)</f>
        <v>0</v>
      </c>
      <c r="F3">
        <f>IF(F2&lt;&gt;"",0,"")</f>
        <v>0</v>
      </c>
      <c r="G3">
        <f>D2</f>
        <v>0</v>
      </c>
      <c r="H3">
        <f>G3</f>
        <v>0</v>
      </c>
      <c r="I3">
        <f>IF(I2&lt;&gt;"",0,"")</f>
        <v>0</v>
      </c>
      <c r="J3">
        <f>D3</f>
        <v>0</v>
      </c>
      <c r="K3">
        <f>J3</f>
        <v>0</v>
      </c>
      <c r="L3">
        <f>IF(L2&lt;&gt;"",0,"")</f>
        <v>0</v>
      </c>
      <c r="M3">
        <f>D4</f>
        <v>0</v>
      </c>
      <c r="N3">
        <f>M3</f>
        <v>0</v>
      </c>
      <c r="O3">
        <f>IF(O2&lt;&gt;"",0,"")</f>
        <v>0</v>
      </c>
      <c r="P3">
        <f>D5</f>
        <v>0</v>
      </c>
      <c r="Q3">
        <f>P3</f>
        <v>0</v>
      </c>
      <c r="R3">
        <f>IF(R2&lt;&gt;"",0,"")</f>
        <v>0</v>
      </c>
      <c r="S3">
        <f>D6</f>
        <v>0</v>
      </c>
      <c r="T3">
        <f>S3</f>
        <v>0</v>
      </c>
      <c r="U3">
        <f>IF(U2&lt;&gt;"",0,"")</f>
        <v>0</v>
      </c>
      <c r="V3">
        <f>D7</f>
        <v>0</v>
      </c>
      <c r="W3">
        <f>V3</f>
        <v>0</v>
      </c>
      <c r="X3">
        <f>IF(X2&lt;&gt;"",0,"")</f>
        <v>0</v>
      </c>
      <c r="Y3">
        <f>D8</f>
        <v>0</v>
      </c>
      <c r="Z3">
        <f>Y3</f>
        <v>0</v>
      </c>
      <c r="AA3">
        <f>IF(AA2&lt;&gt;"",0,"")</f>
        <v>0</v>
      </c>
      <c r="AB3">
        <f>D9</f>
        <v>0</v>
      </c>
      <c r="AC3">
        <f>AB3</f>
        <v>0</v>
      </c>
      <c r="AD3">
        <f>IF(AD2&lt;&gt;"",0,"")</f>
        <v>0</v>
      </c>
      <c r="AE3">
        <f>D10</f>
        <v>0</v>
      </c>
      <c r="AF3">
        <f>AE3</f>
        <v>0</v>
      </c>
      <c r="AG3">
        <f>IF(AG2&lt;&gt;"",0,"")</f>
        <v>0</v>
      </c>
      <c r="AH3">
        <f>D11</f>
        <v>0</v>
      </c>
      <c r="AI3">
        <f>AH3</f>
        <v>0</v>
      </c>
      <c r="AJ3">
        <f>IF(AJ2&lt;&gt;"",0,"")</f>
        <v>0</v>
      </c>
      <c r="AK3">
        <f>D12</f>
        <v>0</v>
      </c>
      <c r="AL3">
        <f>AK3</f>
        <v>0</v>
      </c>
      <c r="AM3">
        <f>IF(AM2&lt;&gt;"",0,"")</f>
        <v>0</v>
      </c>
      <c r="AN3">
        <f>D13</f>
        <v>0</v>
      </c>
      <c r="AO3">
        <f>AN3</f>
        <v>0</v>
      </c>
      <c r="AP3">
        <f>IF(AP2&lt;&gt;"",0,"")</f>
        <v>0</v>
      </c>
      <c r="AQ3">
        <f>D14</f>
        <v>0</v>
      </c>
      <c r="AR3">
        <f>AQ3</f>
        <v>0</v>
      </c>
      <c r="AS3">
        <f>IF(AS2&lt;&gt;"",0,"")</f>
        <v>0</v>
      </c>
      <c r="AT3">
        <f>D15</f>
        <v>0</v>
      </c>
      <c r="AU3">
        <f>AT3</f>
        <v>0</v>
      </c>
      <c r="AV3">
        <f>IF(AV2&lt;&gt;"",0,"")</f>
        <v>0</v>
      </c>
      <c r="AW3">
        <f>D16</f>
        <v>0</v>
      </c>
      <c r="AX3">
        <f>AW3</f>
        <v>0</v>
      </c>
      <c r="AY3">
        <f>IF(AY2&lt;&gt;"",0,"")</f>
        <v>0</v>
      </c>
      <c r="AZ3">
        <f>D17</f>
        <v>0</v>
      </c>
      <c r="BA3">
        <f>AZ3</f>
        <v>0</v>
      </c>
      <c r="BB3">
        <f>IF(BB2&lt;&gt;"",0,"")</f>
        <v>0</v>
      </c>
      <c r="BC3">
        <f>D18</f>
        <v>0</v>
      </c>
      <c r="BD3">
        <f>BC3</f>
        <v>0</v>
      </c>
      <c r="BE3">
        <f>IF(BE2&lt;&gt;"",0,"")</f>
        <v>0</v>
      </c>
      <c r="BF3">
        <f>D19</f>
        <v>0</v>
      </c>
      <c r="BG3">
        <f>BF3</f>
        <v>0</v>
      </c>
      <c r="BH3">
        <f>IF(BH2&lt;&gt;"",0,"")</f>
        <v>0</v>
      </c>
      <c r="BI3">
        <f>D20</f>
        <v>0</v>
      </c>
      <c r="BJ3">
        <f>BI3</f>
        <v>0</v>
      </c>
      <c r="BK3">
        <f>IF(BK2&lt;&gt;"",0,"")</f>
        <v>0</v>
      </c>
      <c r="BL3">
        <f>D21</f>
        <v>0</v>
      </c>
      <c r="BM3">
        <f>BL3</f>
        <v>0</v>
      </c>
    </row>
    <row r="4" spans="1:65" ht="15" customHeight="1">
      <c r="A4">
        <f>IF('Inndata til histogram'!A10="",0,'Inndata til histogram'!A10)</f>
        <v>0</v>
      </c>
      <c r="B4" t="str">
        <f>'Inndata til histogram'!B10</f>
        <v/>
      </c>
      <c r="C4">
        <f>'Inndata til histogram'!C10</f>
        <v>0</v>
      </c>
      <c r="D4">
        <f>IF(AND('Inndata til histogram'!A10&lt;&gt;"",'Inndata til histogram'!H10&lt;&gt;"",'Inndata til histogram'!H10&lt;&gt;0),'Inndata til histogram'!C10/'Inndata til histogram'!H10,0)</f>
        <v>0</v>
      </c>
    </row>
    <row r="5" spans="1:65" ht="15" customHeight="1">
      <c r="A5">
        <f>IF('Inndata til histogram'!A11="",0,'Inndata til histogram'!A11)</f>
        <v>0</v>
      </c>
      <c r="B5" t="str">
        <f>'Inndata til histogram'!B11</f>
        <v/>
      </c>
      <c r="C5">
        <f>'Inndata til histogram'!C11</f>
        <v>0</v>
      </c>
      <c r="D5">
        <f>IF(AND('Inndata til histogram'!A11&lt;&gt;"",'Inndata til histogram'!H11&lt;&gt;"",'Inndata til histogram'!H11&lt;&gt;0),'Inndata til histogram'!C11/'Inndata til histogram'!H11,0)</f>
        <v>0</v>
      </c>
    </row>
    <row r="6" spans="1:65" ht="15" customHeight="1">
      <c r="A6">
        <f>IF('Inndata til histogram'!A12="",0,'Inndata til histogram'!A12)</f>
        <v>0</v>
      </c>
      <c r="B6" t="str">
        <f>'Inndata til histogram'!B12</f>
        <v/>
      </c>
      <c r="C6">
        <f>'Inndata til histogram'!C12</f>
        <v>0</v>
      </c>
      <c r="D6">
        <f>IF(AND('Inndata til histogram'!A12&lt;&gt;"",'Inndata til histogram'!H12&lt;&gt;"",'Inndata til histogram'!H12&lt;&gt;0),'Inndata til histogram'!C12/'Inndata til histogram'!H12,0)</f>
        <v>0</v>
      </c>
    </row>
    <row r="7" spans="1:65" ht="15" customHeight="1">
      <c r="A7">
        <f>IF('Inndata til histogram'!A13="",0,'Inndata til histogram'!A13)</f>
        <v>0</v>
      </c>
      <c r="B7" t="str">
        <f>'Inndata til histogram'!B13</f>
        <v/>
      </c>
      <c r="C7">
        <f>'Inndata til histogram'!C13</f>
        <v>0</v>
      </c>
      <c r="D7">
        <f>IF(AND('Inndata til histogram'!A13&lt;&gt;"",'Inndata til histogram'!H13&lt;&gt;"",'Inndata til histogram'!H13&lt;&gt;0),'Inndata til histogram'!C13/'Inndata til histogram'!H13,0)</f>
        <v>0</v>
      </c>
    </row>
    <row r="8" spans="1:65" ht="15" customHeight="1">
      <c r="A8">
        <f>IF('Inndata til histogram'!A14="",0,'Inndata til histogram'!A14)</f>
        <v>0</v>
      </c>
      <c r="B8" t="str">
        <f>'Inndata til histogram'!B14</f>
        <v/>
      </c>
      <c r="C8">
        <f>'Inndata til histogram'!C14</f>
        <v>0</v>
      </c>
      <c r="D8">
        <f>IF(AND('Inndata til histogram'!A14&lt;&gt;"",'Inndata til histogram'!H14&lt;&gt;"",'Inndata til histogram'!H14&lt;&gt;0),'Inndata til histogram'!C14/'Inndata til histogram'!H14,0)</f>
        <v>0</v>
      </c>
    </row>
    <row r="9" spans="1:65" ht="15" customHeight="1">
      <c r="A9">
        <f>IF('Inndata til histogram'!A15="",0,'Inndata til histogram'!A15)</f>
        <v>0</v>
      </c>
      <c r="B9" t="str">
        <f>'Inndata til histogram'!B15</f>
        <v/>
      </c>
      <c r="C9">
        <f>'Inndata til histogram'!C15</f>
        <v>0</v>
      </c>
      <c r="D9">
        <f>IF(AND('Inndata til histogram'!A15&lt;&gt;"",'Inndata til histogram'!H15&lt;&gt;"",'Inndata til histogram'!H15&lt;&gt;0),'Inndata til histogram'!C15/'Inndata til histogram'!H15,0)</f>
        <v>0</v>
      </c>
    </row>
    <row r="10" spans="1:65" ht="15" customHeight="1">
      <c r="A10">
        <f>IF('Inndata til histogram'!A16="",0,'Inndata til histogram'!A16)</f>
        <v>0</v>
      </c>
      <c r="B10" t="str">
        <f>'Inndata til histogram'!B16</f>
        <v/>
      </c>
      <c r="C10">
        <f>'Inndata til histogram'!C16</f>
        <v>0</v>
      </c>
      <c r="D10">
        <f>IF(AND('Inndata til histogram'!A16&lt;&gt;"",'Inndata til histogram'!H16&lt;&gt;"",'Inndata til histogram'!H16&lt;&gt;0),'Inndata til histogram'!C16/'Inndata til histogram'!H16,0)</f>
        <v>0</v>
      </c>
    </row>
    <row r="11" spans="1:65" ht="15" customHeight="1">
      <c r="A11">
        <f>IF('Inndata til histogram'!A17="",0,'Inndata til histogram'!A17)</f>
        <v>0</v>
      </c>
      <c r="B11" t="str">
        <f>'Inndata til histogram'!B17</f>
        <v/>
      </c>
      <c r="C11">
        <f>'Inndata til histogram'!C17</f>
        <v>0</v>
      </c>
      <c r="D11">
        <f>IF(AND('Inndata til histogram'!A17&lt;&gt;"",'Inndata til histogram'!H17&lt;&gt;"",'Inndata til histogram'!H17&lt;&gt;0),'Inndata til histogram'!C17/'Inndata til histogram'!H17,0)</f>
        <v>0</v>
      </c>
    </row>
    <row r="12" spans="1:65" ht="15" customHeight="1">
      <c r="A12">
        <f>IF('Inndata til histogram'!A18="",0,'Inndata til histogram'!A18)</f>
        <v>0</v>
      </c>
      <c r="B12" t="str">
        <f>'Inndata til histogram'!B18</f>
        <v/>
      </c>
      <c r="C12">
        <f>'Inndata til histogram'!C18</f>
        <v>0</v>
      </c>
      <c r="D12">
        <f>IF(AND('Inndata til histogram'!A18&lt;&gt;"",'Inndata til histogram'!H18&lt;&gt;"",'Inndata til histogram'!H18&lt;&gt;0),'Inndata til histogram'!C18/'Inndata til histogram'!H18,0)</f>
        <v>0</v>
      </c>
    </row>
    <row r="13" spans="1:65" ht="15" customHeight="1">
      <c r="A13">
        <f>IF('Inndata til histogram'!A19="",0,'Inndata til histogram'!A19)</f>
        <v>0</v>
      </c>
      <c r="B13" t="str">
        <f>'Inndata til histogram'!B19</f>
        <v/>
      </c>
      <c r="C13">
        <f>'Inndata til histogram'!C19</f>
        <v>0</v>
      </c>
      <c r="D13">
        <f>IF(AND('Inndata til histogram'!A19&lt;&gt;"",'Inndata til histogram'!H19&lt;&gt;"",'Inndata til histogram'!H19&lt;&gt;0),'Inndata til histogram'!C19/'Inndata til histogram'!H19,0)</f>
        <v>0</v>
      </c>
    </row>
    <row r="14" spans="1:65" ht="15" customHeight="1">
      <c r="A14">
        <f>IF('Inndata til histogram'!A20="",0,'Inndata til histogram'!A20)</f>
        <v>0</v>
      </c>
      <c r="B14" t="str">
        <f>'Inndata til histogram'!B20</f>
        <v/>
      </c>
      <c r="C14">
        <f>'Inndata til histogram'!C20</f>
        <v>0</v>
      </c>
      <c r="D14">
        <f>IF(AND('Inndata til histogram'!A20&lt;&gt;"",'Inndata til histogram'!H20&lt;&gt;"",'Inndata til histogram'!H20&lt;&gt;0),'Inndata til histogram'!C20/'Inndata til histogram'!H20,0)</f>
        <v>0</v>
      </c>
    </row>
    <row r="15" spans="1:65" ht="15" customHeight="1">
      <c r="A15">
        <f>IF('Inndata til histogram'!A21="",0,'Inndata til histogram'!A21)</f>
        <v>0</v>
      </c>
      <c r="B15" t="str">
        <f>'Inndata til histogram'!B21</f>
        <v/>
      </c>
      <c r="C15">
        <f>'Inndata til histogram'!C21</f>
        <v>0</v>
      </c>
      <c r="D15">
        <f>IF(AND('Inndata til histogram'!A21&lt;&gt;"",'Inndata til histogram'!H21&lt;&gt;"",'Inndata til histogram'!H21&lt;&gt;0),'Inndata til histogram'!C21/'Inndata til histogram'!H21,0)</f>
        <v>0</v>
      </c>
    </row>
    <row r="16" spans="1:65" ht="15" customHeight="1">
      <c r="A16">
        <f>IF('Inndata til histogram'!A22="",0,'Inndata til histogram'!A22)</f>
        <v>0</v>
      </c>
      <c r="B16" t="str">
        <f>'Inndata til histogram'!B22</f>
        <v/>
      </c>
      <c r="C16">
        <f>'Inndata til histogram'!C22</f>
        <v>0</v>
      </c>
      <c r="D16">
        <f>IF(AND('Inndata til histogram'!A22&lt;&gt;"",'Inndata til histogram'!H22&lt;&gt;"",'Inndata til histogram'!H22&lt;&gt;0),'Inndata til histogram'!C22/'Inndata til histogram'!H22,0)</f>
        <v>0</v>
      </c>
    </row>
    <row r="17" spans="1:4" ht="15" customHeight="1">
      <c r="A17">
        <f>IF('Inndata til histogram'!A23="",0,'Inndata til histogram'!A23)</f>
        <v>0</v>
      </c>
      <c r="B17" t="str">
        <f>'Inndata til histogram'!B23</f>
        <v/>
      </c>
      <c r="C17">
        <f>'Inndata til histogram'!C23</f>
        <v>0</v>
      </c>
      <c r="D17">
        <f>IF(AND('Inndata til histogram'!A23&lt;&gt;"",'Inndata til histogram'!H23&lt;&gt;"",'Inndata til histogram'!H23&lt;&gt;0),'Inndata til histogram'!C23/'Inndata til histogram'!H23,0)</f>
        <v>0</v>
      </c>
    </row>
    <row r="18" spans="1:4" ht="15" customHeight="1">
      <c r="A18">
        <f>IF('Inndata til histogram'!A24="",0,'Inndata til histogram'!A24)</f>
        <v>0</v>
      </c>
      <c r="B18" t="str">
        <f>'Inndata til histogram'!B24</f>
        <v/>
      </c>
      <c r="C18">
        <f>'Inndata til histogram'!C24</f>
        <v>0</v>
      </c>
      <c r="D18">
        <f>IF(AND('Inndata til histogram'!A24&lt;&gt;"",'Inndata til histogram'!H24&lt;&gt;"",'Inndata til histogram'!H24&lt;&gt;0),'Inndata til histogram'!C24/'Inndata til histogram'!H24,0)</f>
        <v>0</v>
      </c>
    </row>
    <row r="19" spans="1:4" ht="15" customHeight="1">
      <c r="A19">
        <f>IF('Inndata til histogram'!A25="",0,'Inndata til histogram'!A25)</f>
        <v>0</v>
      </c>
      <c r="B19" t="str">
        <f>'Inndata til histogram'!B25</f>
        <v/>
      </c>
      <c r="C19">
        <f>'Inndata til histogram'!C25</f>
        <v>0</v>
      </c>
      <c r="D19">
        <f>IF(AND('Inndata til histogram'!A25&lt;&gt;"",'Inndata til histogram'!H25&lt;&gt;"",'Inndata til histogram'!H25&lt;&gt;0),'Inndata til histogram'!C25/'Inndata til histogram'!H25,0)</f>
        <v>0</v>
      </c>
    </row>
    <row r="20" spans="1:4" ht="15" customHeight="1">
      <c r="A20">
        <f>IF('Inndata til histogram'!A26="",0,'Inndata til histogram'!A26)</f>
        <v>0</v>
      </c>
      <c r="B20" t="str">
        <f>'Inndata til histogram'!B26</f>
        <v/>
      </c>
      <c r="C20">
        <f>'Inndata til histogram'!C26</f>
        <v>0</v>
      </c>
      <c r="D20">
        <f>IF(AND('Inndata til histogram'!A26&lt;&gt;"",'Inndata til histogram'!H26&lt;&gt;"",'Inndata til histogram'!H26&lt;&gt;0),'Inndata til histogram'!C26/'Inndata til histogram'!H26,0)</f>
        <v>0</v>
      </c>
    </row>
    <row r="21" spans="1:4" ht="15" customHeight="1">
      <c r="A21">
        <f>IF('Inndata til histogram'!A27="",0,'Inndata til histogram'!A27)</f>
        <v>0</v>
      </c>
      <c r="B21" t="str">
        <f>'Inndata til histogram'!B27</f>
        <v/>
      </c>
      <c r="C21">
        <f>'Inndata til histogram'!C27</f>
        <v>0</v>
      </c>
      <c r="D21">
        <f>IF(AND('Inndata til histogram'!A27&lt;&gt;"",'Inndata til histogram'!H27&lt;&gt;"",'Inndata til histogram'!H27&lt;&gt;0),'Inndata til histogram'!C27/'Inndata til histogram'!H27,0)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B3E3-5413-4531-8B95-37C64F7E88D8}">
  <sheetPr>
    <tabColor rgb="FF2EC4A1"/>
  </sheetPr>
  <dimension ref="A1:B11"/>
  <sheetViews>
    <sheetView tabSelected="1" workbookViewId="0">
      <selection activeCell="A12" sqref="A12"/>
    </sheetView>
  </sheetViews>
  <sheetFormatPr defaultRowHeight="14.4"/>
  <cols>
    <col min="1" max="1" width="60" bestFit="1" customWidth="1"/>
    <col min="2" max="2" width="41" customWidth="1"/>
  </cols>
  <sheetData>
    <row r="1" spans="1:2" ht="31.8">
      <c r="A1" s="70" t="s">
        <v>131</v>
      </c>
      <c r="B1" s="70" t="s">
        <v>124</v>
      </c>
    </row>
    <row r="2" spans="1:2" ht="31.2">
      <c r="A2" s="71" t="s">
        <v>123</v>
      </c>
      <c r="B2" s="72" t="s">
        <v>126</v>
      </c>
    </row>
    <row r="3" spans="1:2" ht="31.2">
      <c r="A3" s="73" t="s">
        <v>119</v>
      </c>
      <c r="B3" s="74" t="s">
        <v>127</v>
      </c>
    </row>
    <row r="4" spans="1:2" ht="31.2">
      <c r="A4" s="71" t="s">
        <v>120</v>
      </c>
      <c r="B4" s="72" t="s">
        <v>125</v>
      </c>
    </row>
    <row r="5" spans="1:2" ht="31.2">
      <c r="A5" s="73" t="s">
        <v>159</v>
      </c>
      <c r="B5" s="74" t="s">
        <v>126</v>
      </c>
    </row>
    <row r="6" spans="1:2" ht="31.2">
      <c r="A6" s="71" t="s">
        <v>121</v>
      </c>
      <c r="B6" s="72" t="s">
        <v>125</v>
      </c>
    </row>
    <row r="7" spans="1:2" ht="31.2">
      <c r="A7" s="73" t="s">
        <v>122</v>
      </c>
      <c r="B7" s="76" t="s">
        <v>127</v>
      </c>
    </row>
    <row r="11" spans="1:2" ht="18.600000000000001">
      <c r="A11" s="75" t="s">
        <v>160</v>
      </c>
    </row>
  </sheetData>
  <hyperlinks>
    <hyperlink ref="A2" location="'Nedbetaling av lån'!A1" display="Nedbetaling av lån" xr:uid="{0CB09D8D-9E88-4852-8FD4-B9765CE7E1C1}"/>
    <hyperlink ref="A3" location="Frekvenstabell!A1" display="Frekvenstabell" xr:uid="{28E08C63-88A6-4D97-9B1A-F5FF0A420FB3}"/>
    <hyperlink ref="A4" location="'Pytagoras-kalkulator'!A1" display="Pytagoras-kalkulator" xr:uid="{BEADACE7-246C-4EF6-8634-3AA71ED8FA4F}"/>
    <hyperlink ref="A6" location="'Omgjøring av enheter'!A1" display="Omgjøring av enheter" xr:uid="{828AF539-531C-4E0F-AE61-68AF698F14FB}"/>
    <hyperlink ref="A7" location="'Inndata til histogram'!A1" display="Histogram" xr:uid="{75770D72-E7A2-42D1-AF93-D95468F62E44}"/>
    <hyperlink ref="A5" location="Prosentregning!A1" display="Prosentregning" xr:uid="{F5EF3D7C-BAB0-4C2C-893B-C7F83BD63E4A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9B2C-44F7-4F66-9370-A7653D3D542F}">
  <sheetPr>
    <tabColor rgb="FFCCFFCC"/>
  </sheetPr>
  <dimension ref="A1:E28"/>
  <sheetViews>
    <sheetView workbookViewId="0">
      <selection activeCell="C8" sqref="C8"/>
    </sheetView>
  </sheetViews>
  <sheetFormatPr defaultColWidth="8.6640625" defaultRowHeight="14.4"/>
  <cols>
    <col min="1" max="1" width="18" customWidth="1"/>
    <col min="2" max="2" width="25.5546875" bestFit="1" customWidth="1"/>
    <col min="3" max="5" width="18" customWidth="1"/>
    <col min="6" max="6" width="2" customWidth="1"/>
  </cols>
  <sheetData>
    <row r="1" spans="1:5" ht="16.8">
      <c r="A1" s="43" t="s">
        <v>22</v>
      </c>
      <c r="B1" s="43"/>
      <c r="C1" s="43"/>
      <c r="D1" s="43"/>
      <c r="E1" s="43"/>
    </row>
    <row r="2" spans="1:5" ht="6" customHeight="1"/>
    <row r="3" spans="1:5">
      <c r="A3" s="13" t="s">
        <v>23</v>
      </c>
      <c r="B3" s="14">
        <v>200000</v>
      </c>
    </row>
    <row r="4" spans="1:5">
      <c r="A4" s="13" t="s">
        <v>24</v>
      </c>
      <c r="B4" s="15">
        <v>3</v>
      </c>
    </row>
    <row r="5" spans="1:5">
      <c r="A5" s="13" t="s">
        <v>25</v>
      </c>
      <c r="B5" s="16">
        <v>10</v>
      </c>
    </row>
    <row r="6" spans="1:5" ht="6" customHeight="1"/>
    <row r="7" spans="1:5">
      <c r="A7" s="17"/>
      <c r="B7" s="36"/>
    </row>
    <row r="8" spans="1:5" ht="6" customHeight="1"/>
    <row r="9" spans="1:5" ht="21.75" customHeight="1">
      <c r="A9" s="67" t="s">
        <v>26</v>
      </c>
      <c r="B9" s="67" t="s">
        <v>27</v>
      </c>
      <c r="C9" s="67" t="s">
        <v>28</v>
      </c>
      <c r="D9" s="67" t="s">
        <v>29</v>
      </c>
      <c r="E9" s="67" t="s">
        <v>30</v>
      </c>
    </row>
    <row r="10" spans="1:5">
      <c r="A10" s="19">
        <v>1</v>
      </c>
      <c r="B10" s="20">
        <f>B3</f>
        <v>200000</v>
      </c>
      <c r="C10" s="20">
        <f>B10*B4%</f>
        <v>6000</v>
      </c>
      <c r="D10" s="20">
        <f>B3/B5</f>
        <v>20000</v>
      </c>
      <c r="E10" s="20">
        <f>C10+D10</f>
        <v>26000</v>
      </c>
    </row>
    <row r="11" spans="1:5">
      <c r="A11" s="21">
        <v>2</v>
      </c>
      <c r="B11" s="22">
        <f>B10-D10</f>
        <v>180000</v>
      </c>
      <c r="C11" s="22">
        <f>B11*$B$4%</f>
        <v>5400</v>
      </c>
      <c r="D11" s="22">
        <f>$B$3/$B$5</f>
        <v>20000</v>
      </c>
      <c r="E11" s="22">
        <f t="shared" ref="E11:E25" si="0">IFERROR(IF(OR(B11="",C11="",D11=""),0,MAX(0,B11+C11-D11)),"")</f>
        <v>165400</v>
      </c>
    </row>
    <row r="12" spans="1:5">
      <c r="A12" s="19">
        <v>3</v>
      </c>
      <c r="B12" s="20">
        <f>B11-D11</f>
        <v>160000</v>
      </c>
      <c r="C12" s="22">
        <f>B12*$B$4%</f>
        <v>4800</v>
      </c>
      <c r="D12" s="22">
        <f t="shared" ref="D12:D24" si="1">$B$3/$B$5</f>
        <v>20000</v>
      </c>
      <c r="E12" s="20">
        <f t="shared" si="0"/>
        <v>144800</v>
      </c>
    </row>
    <row r="13" spans="1:5">
      <c r="A13" s="21">
        <v>4</v>
      </c>
      <c r="B13" s="22">
        <f>B12-D12</f>
        <v>140000</v>
      </c>
      <c r="C13" s="22">
        <f>B13*$B$4%</f>
        <v>4200</v>
      </c>
      <c r="D13" s="22">
        <f t="shared" si="1"/>
        <v>20000</v>
      </c>
      <c r="E13" s="22">
        <f t="shared" si="0"/>
        <v>124200</v>
      </c>
    </row>
    <row r="14" spans="1:5">
      <c r="A14" s="19">
        <v>5</v>
      </c>
      <c r="B14" s="20">
        <f>B13-D13</f>
        <v>120000</v>
      </c>
      <c r="C14" s="22">
        <f t="shared" ref="C14:C24" si="2">B14*$B$4%</f>
        <v>3600</v>
      </c>
      <c r="D14" s="22">
        <f t="shared" si="1"/>
        <v>20000</v>
      </c>
      <c r="E14" s="20">
        <f t="shared" si="0"/>
        <v>103600</v>
      </c>
    </row>
    <row r="15" spans="1:5">
      <c r="A15" s="21">
        <v>6</v>
      </c>
      <c r="B15" s="22">
        <f t="shared" ref="B15:B26" si="3">B14-D14</f>
        <v>100000</v>
      </c>
      <c r="C15" s="22">
        <f t="shared" si="2"/>
        <v>3000</v>
      </c>
      <c r="D15" s="22">
        <f t="shared" si="1"/>
        <v>20000</v>
      </c>
      <c r="E15" s="22">
        <f t="shared" si="0"/>
        <v>83000</v>
      </c>
    </row>
    <row r="16" spans="1:5">
      <c r="A16" s="19">
        <v>7</v>
      </c>
      <c r="B16" s="20">
        <f t="shared" si="3"/>
        <v>80000</v>
      </c>
      <c r="C16" s="22">
        <f t="shared" si="2"/>
        <v>2400</v>
      </c>
      <c r="D16" s="22">
        <f t="shared" si="1"/>
        <v>20000</v>
      </c>
      <c r="E16" s="20">
        <f t="shared" si="0"/>
        <v>62400</v>
      </c>
    </row>
    <row r="17" spans="1:5">
      <c r="A17" s="21">
        <v>8</v>
      </c>
      <c r="B17" s="22">
        <f t="shared" si="3"/>
        <v>60000</v>
      </c>
      <c r="C17" s="22">
        <f t="shared" si="2"/>
        <v>1800</v>
      </c>
      <c r="D17" s="22">
        <f t="shared" si="1"/>
        <v>20000</v>
      </c>
      <c r="E17" s="22">
        <f t="shared" si="0"/>
        <v>41800</v>
      </c>
    </row>
    <row r="18" spans="1:5">
      <c r="A18" s="19">
        <v>9</v>
      </c>
      <c r="B18" s="20">
        <f t="shared" si="3"/>
        <v>40000</v>
      </c>
      <c r="C18" s="22">
        <f t="shared" si="2"/>
        <v>1200</v>
      </c>
      <c r="D18" s="22">
        <f t="shared" si="1"/>
        <v>20000</v>
      </c>
      <c r="E18" s="20">
        <f t="shared" si="0"/>
        <v>21200</v>
      </c>
    </row>
    <row r="19" spans="1:5">
      <c r="A19" s="21">
        <v>10</v>
      </c>
      <c r="B19" s="22">
        <f t="shared" si="3"/>
        <v>20000</v>
      </c>
      <c r="C19" s="22">
        <f t="shared" si="2"/>
        <v>600</v>
      </c>
      <c r="D19" s="22">
        <f t="shared" si="1"/>
        <v>20000</v>
      </c>
      <c r="E19" s="22">
        <f t="shared" si="0"/>
        <v>600</v>
      </c>
    </row>
    <row r="20" spans="1:5">
      <c r="A20" s="19">
        <v>11</v>
      </c>
      <c r="B20" s="20">
        <f t="shared" si="3"/>
        <v>0</v>
      </c>
      <c r="C20" s="22">
        <f t="shared" si="2"/>
        <v>0</v>
      </c>
      <c r="D20" s="22">
        <f t="shared" si="1"/>
        <v>20000</v>
      </c>
      <c r="E20" s="20">
        <f t="shared" si="0"/>
        <v>0</v>
      </c>
    </row>
    <row r="21" spans="1:5">
      <c r="A21" s="21">
        <v>12</v>
      </c>
      <c r="B21" s="22">
        <f t="shared" si="3"/>
        <v>-20000</v>
      </c>
      <c r="C21" s="22">
        <f t="shared" si="2"/>
        <v>-600</v>
      </c>
      <c r="D21" s="22">
        <f t="shared" si="1"/>
        <v>20000</v>
      </c>
      <c r="E21" s="22">
        <f t="shared" si="0"/>
        <v>0</v>
      </c>
    </row>
    <row r="22" spans="1:5">
      <c r="A22" s="19">
        <v>13</v>
      </c>
      <c r="B22" s="20">
        <f t="shared" si="3"/>
        <v>-40000</v>
      </c>
      <c r="C22" s="22">
        <f t="shared" si="2"/>
        <v>-1200</v>
      </c>
      <c r="D22" s="22">
        <f t="shared" si="1"/>
        <v>20000</v>
      </c>
      <c r="E22" s="20">
        <f t="shared" si="0"/>
        <v>0</v>
      </c>
    </row>
    <row r="23" spans="1:5">
      <c r="A23" s="21">
        <v>14</v>
      </c>
      <c r="B23" s="22">
        <f t="shared" si="3"/>
        <v>-60000</v>
      </c>
      <c r="C23" s="22">
        <f t="shared" si="2"/>
        <v>-1800</v>
      </c>
      <c r="D23" s="22">
        <f t="shared" si="1"/>
        <v>20000</v>
      </c>
      <c r="E23" s="22">
        <f t="shared" si="0"/>
        <v>0</v>
      </c>
    </row>
    <row r="24" spans="1:5">
      <c r="A24" s="19">
        <v>15</v>
      </c>
      <c r="B24" s="20">
        <f t="shared" si="3"/>
        <v>-80000</v>
      </c>
      <c r="C24" s="22">
        <f t="shared" si="2"/>
        <v>-2400</v>
      </c>
      <c r="D24" s="22">
        <f t="shared" si="1"/>
        <v>20000</v>
      </c>
      <c r="E24" s="20">
        <f t="shared" si="0"/>
        <v>0</v>
      </c>
    </row>
    <row r="26" spans="1:5" ht="19.5" customHeight="1">
      <c r="A26" s="77" t="s">
        <v>31</v>
      </c>
      <c r="B26" s="78">
        <f>SUM(B10:B24)</f>
        <v>900000</v>
      </c>
      <c r="C26" s="78">
        <f>SUM(C10:C24)</f>
        <v>27000</v>
      </c>
      <c r="D26" s="78">
        <f>SUM(D10:D24)</f>
        <v>300000</v>
      </c>
      <c r="E26" s="78">
        <f>IFERROR(E24,"")</f>
        <v>0</v>
      </c>
    </row>
    <row r="28" spans="1:5" ht="24" customHeight="1">
      <c r="A28" s="23" t="s">
        <v>32</v>
      </c>
      <c r="B28" s="23"/>
      <c r="C28" s="23"/>
      <c r="D28" s="23"/>
      <c r="E28" s="23"/>
    </row>
  </sheetData>
  <mergeCells count="2">
    <mergeCell ref="A1:E1"/>
    <mergeCell ref="A28:E2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79C1-763B-452D-87F4-6D2F05C3EFD7}">
  <sheetPr>
    <tabColor rgb="FFCCCCFF"/>
  </sheetPr>
  <dimension ref="A1:I19"/>
  <sheetViews>
    <sheetView workbookViewId="0">
      <selection activeCell="C23" sqref="C23"/>
    </sheetView>
  </sheetViews>
  <sheetFormatPr defaultColWidth="8.5546875" defaultRowHeight="14.4"/>
  <cols>
    <col min="1" max="1" width="18" customWidth="1"/>
    <col min="2" max="2" width="14" customWidth="1"/>
    <col min="3" max="3" width="23.6640625" bestFit="1" customWidth="1"/>
    <col min="4" max="4" width="36.88671875" bestFit="1" customWidth="1"/>
    <col min="5" max="5" width="2" customWidth="1"/>
    <col min="6" max="6" width="26" customWidth="1"/>
    <col min="7" max="7" width="22" customWidth="1"/>
    <col min="8" max="8" width="2" customWidth="1"/>
    <col min="9" max="9" width="30" customWidth="1"/>
  </cols>
  <sheetData>
    <row r="1" spans="1:9" ht="17.399999999999999">
      <c r="A1" s="68" t="s">
        <v>98</v>
      </c>
      <c r="B1" s="68"/>
      <c r="C1" s="68"/>
      <c r="D1" s="68"/>
      <c r="E1" s="45"/>
      <c r="F1" s="45"/>
      <c r="G1" s="45"/>
      <c r="H1" s="45"/>
      <c r="I1" s="46" t="s">
        <v>99</v>
      </c>
    </row>
    <row r="2" spans="1:9">
      <c r="A2" s="47" t="s">
        <v>100</v>
      </c>
      <c r="B2" s="47"/>
      <c r="C2" s="47"/>
      <c r="D2" s="47"/>
      <c r="E2" s="45"/>
      <c r="F2" s="45"/>
      <c r="G2" s="45"/>
      <c r="H2" s="45"/>
      <c r="I2" s="46"/>
    </row>
    <row r="3" spans="1:9">
      <c r="A3" s="45"/>
      <c r="B3" s="45"/>
      <c r="C3" s="45"/>
      <c r="D3" s="45"/>
      <c r="E3" s="45"/>
      <c r="F3" s="45"/>
      <c r="G3" s="45"/>
      <c r="H3" s="45"/>
    </row>
    <row r="4" spans="1:9">
      <c r="A4" s="18" t="s">
        <v>101</v>
      </c>
      <c r="B4" s="18" t="s">
        <v>102</v>
      </c>
      <c r="C4" s="18" t="s">
        <v>130</v>
      </c>
      <c r="D4" s="18" t="s">
        <v>129</v>
      </c>
      <c r="E4" s="45"/>
      <c r="F4" s="48" t="s">
        <v>3</v>
      </c>
      <c r="G4" s="48"/>
      <c r="H4" s="45"/>
      <c r="I4" s="49" t="s">
        <v>99</v>
      </c>
    </row>
    <row r="5" spans="1:9" ht="26.4">
      <c r="A5" s="50"/>
      <c r="B5" s="51"/>
      <c r="C5" s="52" t="str">
        <f t="shared" ref="C5:C14" si="0">IFERROR(IF(B5="","",A5*B5),"")</f>
        <v/>
      </c>
      <c r="D5" s="53" t="str">
        <f t="shared" ref="D5:D14" si="1">IFERROR(IF(OR(A5="",B5=""),"",(A5-$G$7)^2*B5),"")</f>
        <v/>
      </c>
      <c r="E5" s="45"/>
      <c r="F5" s="54" t="s">
        <v>4</v>
      </c>
      <c r="G5" s="55">
        <f>B15</f>
        <v>0</v>
      </c>
      <c r="H5" s="45"/>
      <c r="I5" s="56" t="s">
        <v>103</v>
      </c>
    </row>
    <row r="6" spans="1:9" ht="26.4">
      <c r="A6" s="57"/>
      <c r="B6" s="58"/>
      <c r="C6" s="59" t="str">
        <f t="shared" si="0"/>
        <v/>
      </c>
      <c r="D6" s="60" t="str">
        <f t="shared" si="1"/>
        <v/>
      </c>
      <c r="E6" s="45"/>
      <c r="F6" s="61" t="s">
        <v>104</v>
      </c>
      <c r="G6" s="52">
        <f>C15</f>
        <v>0</v>
      </c>
      <c r="H6" s="45"/>
      <c r="I6" s="56" t="s">
        <v>105</v>
      </c>
    </row>
    <row r="7" spans="1:9" ht="26.4">
      <c r="A7" s="50"/>
      <c r="B7" s="51"/>
      <c r="C7" s="52" t="str">
        <f t="shared" si="0"/>
        <v/>
      </c>
      <c r="D7" s="53" t="str">
        <f t="shared" si="1"/>
        <v/>
      </c>
      <c r="E7" s="45"/>
      <c r="F7" s="54" t="s">
        <v>128</v>
      </c>
      <c r="G7" s="62" t="str">
        <f>IFERROR(C15/B15,"")</f>
        <v/>
      </c>
      <c r="H7" s="45"/>
      <c r="I7" s="56" t="s">
        <v>106</v>
      </c>
    </row>
    <row r="8" spans="1:9">
      <c r="A8" s="57"/>
      <c r="B8" s="58"/>
      <c r="C8" s="59" t="str">
        <f t="shared" si="0"/>
        <v/>
      </c>
      <c r="D8" s="60" t="str">
        <f t="shared" si="1"/>
        <v/>
      </c>
      <c r="F8" s="61" t="s">
        <v>107</v>
      </c>
      <c r="G8" s="53">
        <f>IFERROR(D15,"")</f>
        <v>0</v>
      </c>
      <c r="I8" s="56"/>
    </row>
    <row r="9" spans="1:9">
      <c r="A9" s="50"/>
      <c r="B9" s="51"/>
      <c r="C9" s="52" t="str">
        <f t="shared" si="0"/>
        <v/>
      </c>
      <c r="D9" s="53" t="str">
        <f t="shared" si="1"/>
        <v/>
      </c>
      <c r="F9" s="54" t="s">
        <v>108</v>
      </c>
      <c r="G9" s="63">
        <f>IFERROR(D15/(B15-1),"")</f>
        <v>0</v>
      </c>
      <c r="I9" s="49" t="s">
        <v>109</v>
      </c>
    </row>
    <row r="10" spans="1:9">
      <c r="A10" s="57"/>
      <c r="B10" s="58"/>
      <c r="C10" s="59" t="str">
        <f t="shared" si="0"/>
        <v/>
      </c>
      <c r="D10" s="60" t="str">
        <f t="shared" si="1"/>
        <v/>
      </c>
      <c r="F10" s="61" t="s">
        <v>110</v>
      </c>
      <c r="G10" s="52">
        <f>IFERROR(SQRT(D15/(B15-1)),"")</f>
        <v>0</v>
      </c>
      <c r="I10" s="56" t="s">
        <v>111</v>
      </c>
    </row>
    <row r="11" spans="1:9">
      <c r="A11" s="50"/>
      <c r="B11" s="51"/>
      <c r="C11" s="52" t="str">
        <f t="shared" si="0"/>
        <v/>
      </c>
      <c r="D11" s="53" t="str">
        <f t="shared" si="1"/>
        <v/>
      </c>
      <c r="I11" s="56" t="s">
        <v>112</v>
      </c>
    </row>
    <row r="12" spans="1:9">
      <c r="A12" s="57"/>
      <c r="B12" s="58"/>
      <c r="C12" s="59" t="str">
        <f t="shared" si="0"/>
        <v/>
      </c>
      <c r="D12" s="60" t="str">
        <f t="shared" si="1"/>
        <v/>
      </c>
      <c r="I12" s="56" t="s">
        <v>113</v>
      </c>
    </row>
    <row r="13" spans="1:9">
      <c r="A13" s="50"/>
      <c r="B13" s="51"/>
      <c r="C13" s="52" t="str">
        <f t="shared" si="0"/>
        <v/>
      </c>
      <c r="D13" s="53" t="str">
        <f t="shared" si="1"/>
        <v/>
      </c>
      <c r="I13" s="56"/>
    </row>
    <row r="14" spans="1:9">
      <c r="A14" s="57"/>
      <c r="B14" s="58"/>
      <c r="C14" s="59" t="str">
        <f t="shared" si="0"/>
        <v/>
      </c>
      <c r="D14" s="60" t="str">
        <f t="shared" si="1"/>
        <v/>
      </c>
      <c r="I14" s="49" t="s">
        <v>114</v>
      </c>
    </row>
    <row r="15" spans="1:9">
      <c r="A15" s="18" t="s">
        <v>31</v>
      </c>
      <c r="B15" s="64">
        <f>SUM(B5:B14)</f>
        <v>0</v>
      </c>
      <c r="C15" s="65">
        <f>SUM(C5:C14)</f>
        <v>0</v>
      </c>
      <c r="D15" s="66">
        <f>IFERROR(SUM(D5:D14),"")</f>
        <v>0</v>
      </c>
      <c r="I15" s="56" t="s">
        <v>115</v>
      </c>
    </row>
    <row r="16" spans="1:9">
      <c r="I16" s="56"/>
    </row>
    <row r="17" spans="9:9">
      <c r="I17" s="49" t="s">
        <v>116</v>
      </c>
    </row>
    <row r="18" spans="9:9">
      <c r="I18" s="56" t="s">
        <v>117</v>
      </c>
    </row>
    <row r="19" spans="9:9">
      <c r="I19" s="56" t="s">
        <v>118</v>
      </c>
    </row>
  </sheetData>
  <mergeCells count="4">
    <mergeCell ref="A1:D1"/>
    <mergeCell ref="I1:I2"/>
    <mergeCell ref="A2:D2"/>
    <mergeCell ref="F4:G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2EA9-FBD3-42C5-8C00-C0DC032101B3}">
  <sheetPr>
    <tabColor rgb="FFFFFF99"/>
  </sheetPr>
  <dimension ref="B2:F39"/>
  <sheetViews>
    <sheetView workbookViewId="0"/>
  </sheetViews>
  <sheetFormatPr defaultColWidth="8.6640625" defaultRowHeight="14.4"/>
  <cols>
    <col min="1" max="1" width="3" customWidth="1"/>
    <col min="2" max="2" width="22" customWidth="1"/>
    <col min="3" max="3" width="18" customWidth="1"/>
    <col min="4" max="4" width="5" customWidth="1"/>
    <col min="5" max="5" width="22" customWidth="1"/>
    <col min="6" max="6" width="18" customWidth="1"/>
    <col min="7" max="7" width="3" customWidth="1"/>
  </cols>
  <sheetData>
    <row r="2" spans="2:6" ht="22.8">
      <c r="B2" s="69" t="s">
        <v>33</v>
      </c>
      <c r="C2" s="69"/>
      <c r="D2" s="69"/>
      <c r="E2" s="69"/>
      <c r="F2" s="69"/>
    </row>
    <row r="3" spans="2:6" ht="9.75" customHeight="1"/>
    <row r="4" spans="2:6" ht="27.75" customHeight="1">
      <c r="B4" s="24" t="s">
        <v>34</v>
      </c>
      <c r="C4" s="24"/>
      <c r="D4" s="24"/>
      <c r="E4" s="24"/>
      <c r="F4" s="24"/>
    </row>
    <row r="5" spans="2:6" ht="9.75" customHeight="1"/>
    <row r="6" spans="2:6" ht="21.75" customHeight="1">
      <c r="B6" s="25" t="s">
        <v>35</v>
      </c>
      <c r="C6" s="25"/>
      <c r="D6" s="25"/>
      <c r="E6" s="25"/>
      <c r="F6" s="25"/>
    </row>
    <row r="7" spans="2:6" ht="21.75" customHeight="1">
      <c r="B7" s="26" t="s">
        <v>36</v>
      </c>
      <c r="C7" s="26" t="s">
        <v>37</v>
      </c>
      <c r="D7" s="27"/>
      <c r="E7" s="26" t="s">
        <v>36</v>
      </c>
      <c r="F7" s="26" t="s">
        <v>37</v>
      </c>
    </row>
    <row r="8" spans="2:6" ht="15.6">
      <c r="B8" s="28" t="s">
        <v>38</v>
      </c>
      <c r="C8" s="29">
        <v>3</v>
      </c>
      <c r="E8" s="28" t="s">
        <v>39</v>
      </c>
      <c r="F8" s="29">
        <v>4</v>
      </c>
    </row>
    <row r="9" spans="2:6" ht="16.8">
      <c r="B9" s="30" t="s">
        <v>40</v>
      </c>
      <c r="C9" s="30"/>
      <c r="E9" s="31">
        <f>IF(AND(ISNUMBER(C8),ISNUMBER(F8),C8&gt;0,F8&gt;0),SQRT(C8^2+F8^2),"Fyll inn a og b")</f>
        <v>5</v>
      </c>
      <c r="F9" s="31"/>
    </row>
    <row r="10" spans="2:6" ht="21.75" customHeight="1">
      <c r="B10" s="32" t="s">
        <v>41</v>
      </c>
      <c r="C10" s="32"/>
      <c r="D10" s="32"/>
      <c r="E10" s="32"/>
      <c r="F10" s="32"/>
    </row>
    <row r="11" spans="2:6" ht="21.75" customHeight="1"/>
    <row r="12" spans="2:6" ht="21.75" customHeight="1">
      <c r="B12" s="25" t="s">
        <v>42</v>
      </c>
      <c r="C12" s="25"/>
      <c r="D12" s="25"/>
      <c r="E12" s="25"/>
      <c r="F12" s="25"/>
    </row>
    <row r="13" spans="2:6" ht="9.75" customHeight="1">
      <c r="B13" s="26" t="s">
        <v>36</v>
      </c>
      <c r="C13" s="26" t="s">
        <v>37</v>
      </c>
      <c r="D13" s="27"/>
      <c r="E13" s="26" t="s">
        <v>36</v>
      </c>
      <c r="F13" s="26" t="s">
        <v>37</v>
      </c>
    </row>
    <row r="14" spans="2:6" ht="15.6">
      <c r="B14" s="28" t="s">
        <v>43</v>
      </c>
      <c r="C14" s="29">
        <v>5</v>
      </c>
      <c r="E14" s="28" t="s">
        <v>39</v>
      </c>
      <c r="F14" s="29">
        <v>4</v>
      </c>
    </row>
    <row r="15" spans="2:6" ht="16.8">
      <c r="B15" s="30" t="s">
        <v>44</v>
      </c>
      <c r="C15" s="30"/>
      <c r="E15" s="31">
        <f>IF(AND(ISNUMBER(C14),ISNUMBER(F14),C14&gt;0,F14&gt;0,C14&gt;F14),SQRT(C14^2-F14^2),IF(C14&lt;=F14,"c må være større enn b","Fyll inn c og b"))</f>
        <v>3</v>
      </c>
      <c r="F15" s="31"/>
    </row>
    <row r="16" spans="2:6" ht="21.75" customHeight="1">
      <c r="B16" s="32" t="s">
        <v>45</v>
      </c>
      <c r="C16" s="32"/>
      <c r="D16" s="32"/>
      <c r="E16" s="32"/>
      <c r="F16" s="32"/>
    </row>
    <row r="17" spans="2:6" ht="21.75" customHeight="1"/>
    <row r="18" spans="2:6" ht="21.75" customHeight="1">
      <c r="B18" s="25" t="s">
        <v>46</v>
      </c>
      <c r="C18" s="25"/>
      <c r="D18" s="25"/>
      <c r="E18" s="25"/>
      <c r="F18" s="25"/>
    </row>
    <row r="19" spans="2:6" ht="21.75" customHeight="1">
      <c r="B19" s="26" t="s">
        <v>36</v>
      </c>
      <c r="C19" s="26" t="s">
        <v>37</v>
      </c>
      <c r="D19" s="27"/>
      <c r="E19" s="26" t="s">
        <v>36</v>
      </c>
      <c r="F19" s="26" t="s">
        <v>37</v>
      </c>
    </row>
    <row r="20" spans="2:6" ht="15.6">
      <c r="B20" s="28" t="s">
        <v>43</v>
      </c>
      <c r="C20" s="29">
        <v>5</v>
      </c>
      <c r="E20" s="28" t="s">
        <v>38</v>
      </c>
      <c r="F20" s="29">
        <v>3</v>
      </c>
    </row>
    <row r="21" spans="2:6" ht="16.8">
      <c r="B21" s="30" t="s">
        <v>47</v>
      </c>
      <c r="C21" s="30"/>
      <c r="E21" s="31">
        <f>IF(AND(ISNUMBER(C20),ISNUMBER(F20),C20&gt;0,F20&gt;0,C20&gt;F20),SQRT(C20^2-F20^2),IF(C20&lt;=F20,"c må være større enn a","Fyll inn c og a"))</f>
        <v>4</v>
      </c>
      <c r="F21" s="31"/>
    </row>
    <row r="22" spans="2:6" ht="21.75" customHeight="1">
      <c r="B22" s="32" t="s">
        <v>48</v>
      </c>
      <c r="C22" s="32"/>
      <c r="D22" s="32"/>
      <c r="E22" s="32"/>
      <c r="F22" s="32"/>
    </row>
    <row r="23" spans="2:6" ht="21.75" customHeight="1"/>
    <row r="24" spans="2:6" ht="21.75" customHeight="1">
      <c r="B24" s="33" t="s">
        <v>49</v>
      </c>
      <c r="C24" s="33"/>
      <c r="D24" s="33"/>
      <c r="E24" s="33"/>
      <c r="F24" s="33"/>
    </row>
    <row r="25" spans="2:6" ht="21.75" customHeight="1">
      <c r="B25" s="34" t="s">
        <v>50</v>
      </c>
      <c r="C25" s="34"/>
      <c r="E25" s="35" t="s">
        <v>51</v>
      </c>
      <c r="F25" s="35"/>
    </row>
    <row r="26" spans="2:6" ht="21.75" customHeight="1"/>
    <row r="27" spans="2:6" ht="21.75" customHeight="1"/>
    <row r="28" spans="2:6" ht="21.75" customHeight="1"/>
    <row r="29" spans="2:6" ht="21.75" customHeight="1"/>
    <row r="30" spans="2:6" ht="21.75" customHeight="1"/>
    <row r="31" spans="2:6" ht="21.75" customHeight="1"/>
    <row r="32" spans="2:6" ht="21.75" customHeight="1"/>
    <row r="33" ht="21.75" customHeight="1"/>
    <row r="34" ht="21.75" customHeight="1"/>
    <row r="35" ht="21.75" customHeight="1"/>
    <row r="36" ht="21.75" customHeight="1"/>
    <row r="37" ht="21.75" customHeight="1"/>
    <row r="38" ht="21.75" customHeight="1"/>
    <row r="39" ht="21.75" customHeight="1"/>
  </sheetData>
  <mergeCells count="17">
    <mergeCell ref="B22:F22"/>
    <mergeCell ref="B24:F24"/>
    <mergeCell ref="B25:C25"/>
    <mergeCell ref="E25:F25"/>
    <mergeCell ref="B12:F12"/>
    <mergeCell ref="B15:C15"/>
    <mergeCell ref="E15:F15"/>
    <mergeCell ref="B16:F16"/>
    <mergeCell ref="B18:F18"/>
    <mergeCell ref="B21:C21"/>
    <mergeCell ref="E21:F21"/>
    <mergeCell ref="B2:F2"/>
    <mergeCell ref="B4:F4"/>
    <mergeCell ref="B6:F6"/>
    <mergeCell ref="B9:C9"/>
    <mergeCell ref="E9:F9"/>
    <mergeCell ref="B10:F1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AB2B-7328-469A-84E1-663BD37D1438}">
  <sheetPr>
    <tabColor rgb="FFFFCCCC"/>
  </sheetPr>
  <dimension ref="A1:C29"/>
  <sheetViews>
    <sheetView topLeftCell="A9" workbookViewId="0">
      <selection sqref="A1:C1"/>
    </sheetView>
  </sheetViews>
  <sheetFormatPr defaultRowHeight="14.4"/>
  <cols>
    <col min="1" max="1" width="21.6640625" customWidth="1"/>
    <col min="3" max="3" width="38.33203125" customWidth="1"/>
  </cols>
  <sheetData>
    <row r="1" spans="1:3" ht="16.8">
      <c r="A1" s="79" t="s">
        <v>132</v>
      </c>
      <c r="B1" s="79"/>
      <c r="C1" s="79"/>
    </row>
    <row r="2" spans="1:3">
      <c r="A2" s="80" t="s">
        <v>133</v>
      </c>
      <c r="B2" s="80"/>
      <c r="C2" s="80"/>
    </row>
    <row r="3" spans="1:3">
      <c r="A3" s="81" t="s">
        <v>134</v>
      </c>
      <c r="B3" s="90" t="s">
        <v>135</v>
      </c>
      <c r="C3" s="90" t="s">
        <v>49</v>
      </c>
    </row>
    <row r="4" spans="1:3">
      <c r="A4" s="83" t="s">
        <v>136</v>
      </c>
      <c r="B4" s="84">
        <v>1000</v>
      </c>
      <c r="C4" s="85" t="s">
        <v>137</v>
      </c>
    </row>
    <row r="5" spans="1:3">
      <c r="A5" s="83" t="s">
        <v>138</v>
      </c>
      <c r="B5" s="84">
        <v>25</v>
      </c>
      <c r="C5" s="85" t="s">
        <v>139</v>
      </c>
    </row>
    <row r="6" spans="1:3">
      <c r="A6" s="86" t="s">
        <v>140</v>
      </c>
      <c r="B6" s="86"/>
      <c r="C6" s="86"/>
    </row>
    <row r="7" spans="1:3">
      <c r="A7" s="83" t="s">
        <v>141</v>
      </c>
      <c r="B7" s="88">
        <f>B4*(1+B5/100)</f>
        <v>1250</v>
      </c>
      <c r="C7" s="85" t="s">
        <v>142</v>
      </c>
    </row>
    <row r="8" spans="1:3">
      <c r="A8" s="83" t="s">
        <v>143</v>
      </c>
      <c r="B8" s="88">
        <f>B7-B4</f>
        <v>250</v>
      </c>
      <c r="C8" s="85" t="s">
        <v>144</v>
      </c>
    </row>
    <row r="11" spans="1:3" ht="16.8">
      <c r="A11" s="79" t="s">
        <v>145</v>
      </c>
      <c r="B11" s="79"/>
      <c r="C11" s="79"/>
    </row>
    <row r="12" spans="1:3">
      <c r="A12" s="80" t="s">
        <v>146</v>
      </c>
      <c r="B12" s="80"/>
      <c r="C12" s="80"/>
    </row>
    <row r="13" spans="1:3">
      <c r="A13" s="81" t="s">
        <v>134</v>
      </c>
      <c r="B13" s="90" t="s">
        <v>135</v>
      </c>
      <c r="C13" s="90" t="s">
        <v>49</v>
      </c>
    </row>
    <row r="14" spans="1:3">
      <c r="A14" s="83" t="s">
        <v>147</v>
      </c>
      <c r="B14" s="84">
        <v>1250</v>
      </c>
      <c r="C14" s="85" t="s">
        <v>148</v>
      </c>
    </row>
    <row r="15" spans="1:3">
      <c r="A15" s="83" t="s">
        <v>138</v>
      </c>
      <c r="B15" s="84">
        <v>25</v>
      </c>
      <c r="C15" s="85" t="s">
        <v>139</v>
      </c>
    </row>
    <row r="16" spans="1:3">
      <c r="A16" s="86" t="s">
        <v>140</v>
      </c>
      <c r="B16" s="86"/>
      <c r="C16" s="86"/>
    </row>
    <row r="17" spans="1:3">
      <c r="A17" s="83" t="s">
        <v>149</v>
      </c>
      <c r="B17" s="88">
        <f>IF(1+B15/100=0,"Ugyldig: 0%",B14/(1+B15/100))</f>
        <v>1000</v>
      </c>
      <c r="C17" s="85" t="s">
        <v>142</v>
      </c>
    </row>
    <row r="18" spans="1:3">
      <c r="A18" s="83" t="s">
        <v>143</v>
      </c>
      <c r="B18" s="88">
        <f>IF(ISNUMBER(B17),B14-B17,"")</f>
        <v>250</v>
      </c>
      <c r="C18" s="85" t="s">
        <v>144</v>
      </c>
    </row>
    <row r="21" spans="1:3" ht="16.8">
      <c r="A21" s="79" t="s">
        <v>150</v>
      </c>
      <c r="B21" s="79"/>
      <c r="C21" s="79"/>
    </row>
    <row r="22" spans="1:3">
      <c r="A22" s="80" t="s">
        <v>151</v>
      </c>
      <c r="B22" s="80"/>
      <c r="C22" s="80"/>
    </row>
    <row r="23" spans="1:3">
      <c r="A23" s="81" t="s">
        <v>134</v>
      </c>
      <c r="B23" s="82" t="s">
        <v>135</v>
      </c>
      <c r="C23" s="82" t="s">
        <v>49</v>
      </c>
    </row>
    <row r="24" spans="1:3">
      <c r="A24" s="83" t="s">
        <v>136</v>
      </c>
      <c r="B24" s="84">
        <v>1000</v>
      </c>
      <c r="C24" s="85" t="s">
        <v>152</v>
      </c>
    </row>
    <row r="25" spans="1:3">
      <c r="A25" s="83" t="s">
        <v>153</v>
      </c>
      <c r="B25" s="84">
        <v>1250</v>
      </c>
      <c r="C25" s="85" t="s">
        <v>154</v>
      </c>
    </row>
    <row r="26" spans="1:3">
      <c r="A26" s="86" t="s">
        <v>140</v>
      </c>
      <c r="B26" s="86"/>
      <c r="C26" s="86"/>
    </row>
    <row r="27" spans="1:3">
      <c r="A27" s="83" t="s">
        <v>155</v>
      </c>
      <c r="B27" s="87">
        <f>IF(B24=0,"Ugyldig: startverdi er 0",(B25-B24)/B24*100)</f>
        <v>25</v>
      </c>
      <c r="C27" s="85" t="s">
        <v>156</v>
      </c>
    </row>
    <row r="28" spans="1:3">
      <c r="A28" s="83" t="s">
        <v>143</v>
      </c>
      <c r="B28" s="88">
        <f>B25-B24</f>
        <v>250</v>
      </c>
      <c r="C28" s="85" t="s">
        <v>144</v>
      </c>
    </row>
    <row r="29" spans="1:3">
      <c r="A29" s="83" t="s">
        <v>157</v>
      </c>
      <c r="B29" s="89" t="str">
        <f>IF(ISNUMBER(B27),TEXT(B27,"0.00")&amp;" %",B27)</f>
        <v>25.00 %</v>
      </c>
      <c r="C29" s="85" t="s">
        <v>158</v>
      </c>
    </row>
  </sheetData>
  <mergeCells count="9">
    <mergeCell ref="A21:C21"/>
    <mergeCell ref="A22:C22"/>
    <mergeCell ref="A26:C26"/>
    <mergeCell ref="A1:C1"/>
    <mergeCell ref="A2:C2"/>
    <mergeCell ref="A6:C6"/>
    <mergeCell ref="A11:C11"/>
    <mergeCell ref="A12:C12"/>
    <mergeCell ref="A16:C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3829-AE7B-4AEE-9444-2C34F5A4C1EE}">
  <sheetPr>
    <tabColor rgb="FFFFCCFF"/>
  </sheetPr>
  <dimension ref="A1:D44"/>
  <sheetViews>
    <sheetView topLeftCell="A17" workbookViewId="0">
      <selection activeCell="C39" sqref="C39"/>
    </sheetView>
  </sheetViews>
  <sheetFormatPr defaultColWidth="8.6640625" defaultRowHeight="13.8"/>
  <cols>
    <col min="1" max="1" width="18" style="37" customWidth="1"/>
    <col min="2" max="2" width="15" style="37" customWidth="1"/>
    <col min="3" max="3" width="18" style="37" customWidth="1"/>
    <col min="4" max="4" width="15" style="37" customWidth="1"/>
    <col min="5" max="16384" width="8.6640625" style="37"/>
  </cols>
  <sheetData>
    <row r="1" spans="1:4" ht="24.75" customHeight="1">
      <c r="A1" s="42" t="s">
        <v>52</v>
      </c>
      <c r="B1" s="42"/>
      <c r="C1" s="42"/>
      <c r="D1" s="42"/>
    </row>
    <row r="3" spans="1:4" ht="19.5" customHeight="1">
      <c r="A3" s="44" t="s">
        <v>53</v>
      </c>
      <c r="B3" s="44"/>
      <c r="C3" s="44"/>
      <c r="D3" s="44"/>
    </row>
    <row r="4" spans="1:4">
      <c r="A4" s="38" t="s">
        <v>54</v>
      </c>
      <c r="B4" s="39"/>
      <c r="C4" s="40">
        <f>B4/1000000</f>
        <v>0</v>
      </c>
      <c r="D4" s="41" t="s">
        <v>55</v>
      </c>
    </row>
    <row r="5" spans="1:4">
      <c r="A5" s="38" t="s">
        <v>56</v>
      </c>
      <c r="B5" s="39"/>
      <c r="C5" s="40">
        <f>B5*1000000</f>
        <v>0</v>
      </c>
      <c r="D5" s="41" t="s">
        <v>57</v>
      </c>
    </row>
    <row r="6" spans="1:4">
      <c r="A6" s="38" t="s">
        <v>58</v>
      </c>
      <c r="B6" s="39"/>
      <c r="C6" s="40">
        <f>B6/1000</f>
        <v>0</v>
      </c>
      <c r="D6" s="41" t="s">
        <v>59</v>
      </c>
    </row>
    <row r="7" spans="1:4">
      <c r="A7" s="38" t="s">
        <v>60</v>
      </c>
      <c r="B7" s="39"/>
      <c r="C7" s="40">
        <f>B7*1000</f>
        <v>0</v>
      </c>
      <c r="D7" s="41" t="s">
        <v>59</v>
      </c>
    </row>
    <row r="8" spans="1:4">
      <c r="A8" s="38" t="s">
        <v>61</v>
      </c>
      <c r="B8" s="39"/>
      <c r="C8" s="40">
        <f>B8/1000</f>
        <v>0</v>
      </c>
      <c r="D8" s="41" t="s">
        <v>62</v>
      </c>
    </row>
    <row r="9" spans="1:4">
      <c r="A9" s="38" t="s">
        <v>63</v>
      </c>
      <c r="B9" s="39"/>
      <c r="C9" s="40">
        <f>B9/1000</f>
        <v>0</v>
      </c>
      <c r="D9" s="41" t="s">
        <v>64</v>
      </c>
    </row>
    <row r="11" spans="1:4" ht="19.5" customHeight="1">
      <c r="A11" s="44" t="s">
        <v>65</v>
      </c>
      <c r="B11" s="44"/>
      <c r="C11" s="44"/>
      <c r="D11" s="44"/>
    </row>
    <row r="12" spans="1:4">
      <c r="A12" s="38" t="s">
        <v>66</v>
      </c>
      <c r="B12" s="39"/>
      <c r="C12" s="40">
        <f>B12/10</f>
        <v>0</v>
      </c>
      <c r="D12" s="41" t="s">
        <v>67</v>
      </c>
    </row>
    <row r="13" spans="1:4">
      <c r="A13" s="38" t="s">
        <v>68</v>
      </c>
      <c r="B13" s="39"/>
      <c r="C13" s="40">
        <f>B13/100</f>
        <v>0</v>
      </c>
      <c r="D13" s="41" t="s">
        <v>69</v>
      </c>
    </row>
    <row r="14" spans="1:4">
      <c r="A14" s="38" t="s">
        <v>70</v>
      </c>
      <c r="B14" s="39"/>
      <c r="C14" s="40">
        <f>B14/1000</f>
        <v>0</v>
      </c>
      <c r="D14" s="41" t="s">
        <v>62</v>
      </c>
    </row>
    <row r="15" spans="1:4">
      <c r="A15" s="38" t="s">
        <v>71</v>
      </c>
      <c r="B15" s="39"/>
      <c r="C15" s="40">
        <f>B15/1000</f>
        <v>0</v>
      </c>
      <c r="D15" s="41" t="s">
        <v>62</v>
      </c>
    </row>
    <row r="16" spans="1:4">
      <c r="A16" s="38" t="s">
        <v>72</v>
      </c>
      <c r="B16" s="39"/>
      <c r="C16" s="40">
        <f>B16*1000</f>
        <v>0</v>
      </c>
      <c r="D16" s="41" t="s">
        <v>73</v>
      </c>
    </row>
    <row r="17" spans="1:4">
      <c r="A17" s="38" t="s">
        <v>74</v>
      </c>
      <c r="B17" s="39"/>
      <c r="C17" s="40">
        <f>B17*100</f>
        <v>0</v>
      </c>
      <c r="D17" s="41" t="s">
        <v>75</v>
      </c>
    </row>
    <row r="19" spans="1:4" ht="19.5" customHeight="1">
      <c r="A19" s="44" t="s">
        <v>76</v>
      </c>
      <c r="B19" s="44"/>
      <c r="C19" s="44"/>
      <c r="D19" s="44"/>
    </row>
    <row r="20" spans="1:4">
      <c r="A20" s="38" t="s">
        <v>77</v>
      </c>
      <c r="B20" s="39"/>
      <c r="C20" s="40">
        <f>B20/100</f>
        <v>0</v>
      </c>
      <c r="D20" s="41" t="s">
        <v>69</v>
      </c>
    </row>
    <row r="21" spans="1:4">
      <c r="A21" s="38" t="s">
        <v>78</v>
      </c>
      <c r="B21" s="39"/>
      <c r="C21" s="40">
        <f>B21/10000</f>
        <v>0</v>
      </c>
      <c r="D21" s="41" t="s">
        <v>79</v>
      </c>
    </row>
    <row r="22" spans="1:4">
      <c r="A22" s="38" t="s">
        <v>80</v>
      </c>
      <c r="B22" s="39"/>
      <c r="C22" s="40">
        <f>B22/1000000</f>
        <v>0</v>
      </c>
      <c r="D22" s="41" t="s">
        <v>55</v>
      </c>
    </row>
    <row r="23" spans="1:4">
      <c r="A23" s="38" t="s">
        <v>81</v>
      </c>
      <c r="B23" s="39"/>
      <c r="C23" s="40">
        <f>B23*10000</f>
        <v>0</v>
      </c>
      <c r="D23" s="41" t="s">
        <v>82</v>
      </c>
    </row>
    <row r="24" spans="1:4">
      <c r="A24" s="38" t="s">
        <v>83</v>
      </c>
      <c r="B24" s="39"/>
      <c r="C24" s="40">
        <f>B24*1000000</f>
        <v>0</v>
      </c>
      <c r="D24" s="41" t="s">
        <v>57</v>
      </c>
    </row>
    <row r="25" spans="1:4">
      <c r="A25" s="38" t="s">
        <v>84</v>
      </c>
      <c r="B25" s="39"/>
      <c r="C25" s="40">
        <f>B25*1000</f>
        <v>0</v>
      </c>
      <c r="D25" s="41" t="s">
        <v>85</v>
      </c>
    </row>
    <row r="27" spans="1:4" ht="19.5" customHeight="1"/>
    <row r="28" spans="1:4" ht="15.6">
      <c r="A28" s="44" t="s">
        <v>86</v>
      </c>
      <c r="B28" s="44"/>
      <c r="C28" s="44"/>
      <c r="D28" s="44"/>
    </row>
    <row r="29" spans="1:4">
      <c r="A29" s="38" t="s">
        <v>87</v>
      </c>
      <c r="B29" s="39"/>
      <c r="C29" s="40">
        <f>B29*3.6</f>
        <v>0</v>
      </c>
      <c r="D29" s="41" t="s">
        <v>88</v>
      </c>
    </row>
    <row r="30" spans="1:4">
      <c r="A30" s="38" t="s">
        <v>89</v>
      </c>
      <c r="B30" s="39"/>
      <c r="C30" s="40">
        <f>B30/3.6</f>
        <v>0</v>
      </c>
      <c r="D30" s="41" t="s">
        <v>90</v>
      </c>
    </row>
    <row r="32" spans="1:4" ht="15.6">
      <c r="A32" s="44" t="s">
        <v>91</v>
      </c>
      <c r="B32" s="44"/>
      <c r="C32" s="44"/>
      <c r="D32" s="44"/>
    </row>
    <row r="33" spans="1:4">
      <c r="A33" s="38" t="s">
        <v>92</v>
      </c>
      <c r="B33" s="39"/>
      <c r="C33" s="40">
        <f>B33*9/5+32</f>
        <v>32</v>
      </c>
      <c r="D33" s="41" t="s">
        <v>93</v>
      </c>
    </row>
    <row r="34" spans="1:4">
      <c r="A34" s="38" t="s">
        <v>94</v>
      </c>
      <c r="B34" s="39"/>
      <c r="C34" s="40">
        <f>(B34-32)*5/9</f>
        <v>-17.777777777777779</v>
      </c>
      <c r="D34" s="41" t="s">
        <v>95</v>
      </c>
    </row>
    <row r="35" spans="1:4" ht="19.5" customHeight="1">
      <c r="A35" s="38" t="s">
        <v>96</v>
      </c>
      <c r="B35" s="39"/>
      <c r="C35" s="40">
        <f>B35+273.15</f>
        <v>273.14999999999998</v>
      </c>
      <c r="D35" s="41" t="s">
        <v>97</v>
      </c>
    </row>
    <row r="39" spans="1:4" ht="19.5" customHeight="1"/>
    <row r="44" spans="1:4" ht="18" customHeight="1"/>
  </sheetData>
  <mergeCells count="6">
    <mergeCell ref="A32:D32"/>
    <mergeCell ref="A1:D1"/>
    <mergeCell ref="A3:D3"/>
    <mergeCell ref="A11:D11"/>
    <mergeCell ref="A19:D19"/>
    <mergeCell ref="A28:D2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L27"/>
  <sheetViews>
    <sheetView zoomScaleNormal="100" workbookViewId="0">
      <pane ySplit="5" topLeftCell="A6" activePane="bottomLeft" state="frozen"/>
      <selection pane="bottomLeft" activeCell="J16" sqref="J16"/>
    </sheetView>
  </sheetViews>
  <sheetFormatPr defaultColWidth="8.6640625" defaultRowHeight="14.4"/>
  <cols>
    <col min="1" max="1" width="14" customWidth="1"/>
    <col min="2" max="2" width="16" customWidth="1"/>
    <col min="3" max="3" width="10" customWidth="1"/>
    <col min="4" max="4" width="12" customWidth="1"/>
    <col min="5" max="5" width="10" customWidth="1"/>
    <col min="6" max="7" width="18" customWidth="1"/>
    <col min="8" max="8" width="10" customWidth="1"/>
    <col min="9" max="9" width="16" customWidth="1"/>
    <col min="10" max="10" width="5" customWidth="1"/>
    <col min="11" max="11" width="26" customWidth="1"/>
    <col min="12" max="12" width="12" customWidth="1"/>
  </cols>
  <sheetData>
    <row r="1" spans="1:12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2" ht="15" customHeight="1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12" ht="21.75" customHeight="1">
      <c r="A3" s="5" t="s">
        <v>2</v>
      </c>
      <c r="B3" s="6"/>
      <c r="H3" s="7" t="b">
        <f>AND(COUNT(A8:A27)&gt;0,COUNT(A8:A27)=COUNT(C8:C27),B3&lt;&gt;"")</f>
        <v>0</v>
      </c>
      <c r="K3" s="2" t="s">
        <v>3</v>
      </c>
      <c r="L3" s="2"/>
    </row>
    <row r="4" spans="1:12" ht="15" customHeight="1">
      <c r="K4" s="8" t="s">
        <v>4</v>
      </c>
      <c r="L4" s="9" t="str">
        <f>IF(AND(COUNT(A8:A27)&gt;0,COUNT(A8:A27)=COUNT(C8:C27),B3&lt;&gt;""),SUM(C8:C27),"")</f>
        <v/>
      </c>
    </row>
    <row r="5" spans="1:12" ht="27.75" customHeight="1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  <c r="I5" s="10" t="s">
        <v>13</v>
      </c>
      <c r="K5" s="8" t="s">
        <v>14</v>
      </c>
      <c r="L5" s="9" t="str">
        <f>IF(AND(COUNT(A8:A27)&gt;0,COUNT(A8:A27)=COUNT(C8:C27),B3&lt;&gt;""),(SUM(C8:C27)+1)/2,"")</f>
        <v/>
      </c>
    </row>
    <row r="6" spans="1:12" ht="15" customHeight="1">
      <c r="K6" s="8" t="s">
        <v>15</v>
      </c>
      <c r="L6" s="9" t="str">
        <f ca="1">IF(AND(COUNT(A8:A27)&gt;0,COUNT(A8:A27)=COUNT(C8:C27),B3&lt;&gt;""),OFFSET(A8,COUNT(G8:G27),0)+(L5-IF(COUNT(G8:G27)&gt;0,OFFSET(F8,COUNT(G8:G27)-1,0),0))/OFFSET(C8,COUNT(G8:G27),0)*OFFSET(H8,COUNT(G8:G27),0),"")</f>
        <v/>
      </c>
    </row>
    <row r="7" spans="1:12" ht="15" customHeight="1">
      <c r="K7" s="8" t="s">
        <v>16</v>
      </c>
      <c r="L7" s="9" t="str">
        <f>IF(AND(COUNT(A8:A27)&gt;0,COUNT(A8:A27)=COUNT(C8:C27),B3&lt;&gt;""),SUM(E8:E27)/SUM(C8:C27),"")</f>
        <v/>
      </c>
    </row>
    <row r="8" spans="1:12" ht="15" customHeight="1">
      <c r="A8" s="6"/>
      <c r="B8" s="11" t="str">
        <f t="shared" ref="B8:B27" si="0">IF(A8="","",IF(A9="",B$3,A9))</f>
        <v/>
      </c>
      <c r="C8" s="6"/>
      <c r="D8" s="11" t="str">
        <f t="shared" ref="D8:D27" si="1">IF(A8&lt;&gt;"",(A8+B8)/2,"")</f>
        <v/>
      </c>
      <c r="E8" s="11" t="str">
        <f t="shared" ref="E8:E27" si="2">IF(A8&lt;&gt;"",C8*D8,"")</f>
        <v/>
      </c>
      <c r="F8" s="11" t="str">
        <f>IF(C8&lt;&gt;"",C8,"")</f>
        <v/>
      </c>
      <c r="G8" s="11" t="str">
        <f>IF(AND(F8&lt;&gt;"",F8&lt;J8,H3),F8,"")</f>
        <v/>
      </c>
      <c r="H8" s="11" t="str">
        <f t="shared" ref="H8:H27" si="3">IF(A8&lt;&gt;"",(B8-A8),"")</f>
        <v/>
      </c>
      <c r="I8" s="11" t="str">
        <f t="shared" ref="I8:I27" si="4">IF(AND(A8&lt;&gt;"",H8&lt;&gt;"",H8&lt;&gt;0),C8/H8,"")</f>
        <v/>
      </c>
      <c r="J8" s="7">
        <f>IF(AND(COUNT(A8:A27)&gt;0,COUNT(A8:A27)=COUNT(C8:C27),B3&lt;&gt;""),(IF(AND(COUNT(A8:A27)&gt;0,COUNT(A8:A27)=COUNT(C8:C27),B3&lt;&gt;""),SUM(C8:C27),1)+1)/2,0)</f>
        <v>0</v>
      </c>
      <c r="K8" s="1" t="str">
        <f>IF(AND(COUNT(A8:A27)&gt;0,COUNT(A8:A27)=COUNT(C8:C27),B3&lt;&gt;""),"✅ Klar – se Histogram-fanen","⚠️ Fyll inn data i kolonne A og C")</f>
        <v>⚠️ Fyll inn data i kolonne A og C</v>
      </c>
      <c r="L8" s="1"/>
    </row>
    <row r="9" spans="1:12" ht="15" customHeight="1">
      <c r="A9" s="6"/>
      <c r="B9" s="11" t="str">
        <f t="shared" si="0"/>
        <v/>
      </c>
      <c r="C9" s="6"/>
      <c r="D9" s="11" t="str">
        <f t="shared" si="1"/>
        <v/>
      </c>
      <c r="E9" s="11" t="str">
        <f t="shared" si="2"/>
        <v/>
      </c>
      <c r="F9" s="11" t="str">
        <f t="shared" ref="F9:F27" si="5">IF(C9&lt;&gt;"",F8+C9,"")</f>
        <v/>
      </c>
      <c r="G9" s="11" t="str">
        <f>IF(AND(F9&lt;&gt;"",F9&lt;J8,H3),F9,"")</f>
        <v/>
      </c>
      <c r="H9" s="11" t="str">
        <f t="shared" si="3"/>
        <v/>
      </c>
      <c r="I9" s="11" t="str">
        <f t="shared" si="4"/>
        <v/>
      </c>
    </row>
    <row r="10" spans="1:12" ht="15" customHeight="1">
      <c r="A10" s="6"/>
      <c r="B10" s="11" t="str">
        <f>IF(A10="","",IF(A11="",B$3,A11))</f>
        <v/>
      </c>
      <c r="C10" s="6"/>
      <c r="D10" s="11" t="str">
        <f>IF(A10&lt;&gt;"",(A10+B10)/2,"")</f>
        <v/>
      </c>
      <c r="E10" s="11" t="str">
        <f t="shared" si="2"/>
        <v/>
      </c>
      <c r="F10" s="11" t="str">
        <f t="shared" si="5"/>
        <v/>
      </c>
      <c r="G10" s="11" t="str">
        <f>IF(AND(F10&lt;&gt;"",F10&lt;J8,H3),F10,"")</f>
        <v/>
      </c>
      <c r="H10" s="11" t="str">
        <f t="shared" si="3"/>
        <v/>
      </c>
      <c r="I10" s="11" t="str">
        <f t="shared" si="4"/>
        <v/>
      </c>
    </row>
    <row r="11" spans="1:12" ht="15" customHeight="1">
      <c r="A11" s="6"/>
      <c r="B11" s="11" t="str">
        <f t="shared" si="0"/>
        <v/>
      </c>
      <c r="C11" s="6"/>
      <c r="D11" s="11" t="str">
        <f t="shared" si="1"/>
        <v/>
      </c>
      <c r="E11" s="11" t="str">
        <f t="shared" si="2"/>
        <v/>
      </c>
      <c r="F11" s="11" t="str">
        <f t="shared" si="5"/>
        <v/>
      </c>
      <c r="G11" s="11" t="str">
        <f>IF(AND(F11&lt;&gt;"",F11&lt;J8,H3),F11,"")</f>
        <v/>
      </c>
      <c r="H11" s="11" t="str">
        <f t="shared" si="3"/>
        <v/>
      </c>
      <c r="I11" s="11" t="str">
        <f t="shared" si="4"/>
        <v/>
      </c>
    </row>
    <row r="12" spans="1:12" ht="15" customHeight="1">
      <c r="A12" s="6"/>
      <c r="B12" s="11" t="str">
        <f t="shared" si="0"/>
        <v/>
      </c>
      <c r="C12" s="6"/>
      <c r="D12" s="11" t="str">
        <f t="shared" si="1"/>
        <v/>
      </c>
      <c r="E12" s="11" t="str">
        <f t="shared" si="2"/>
        <v/>
      </c>
      <c r="F12" s="11" t="str">
        <f t="shared" si="5"/>
        <v/>
      </c>
      <c r="G12" s="11" t="str">
        <f>IF(AND(F12&lt;&gt;"",F12&lt;J8,H3),F12,"")</f>
        <v/>
      </c>
      <c r="H12" s="11" t="str">
        <f t="shared" si="3"/>
        <v/>
      </c>
      <c r="I12" s="11" t="str">
        <f t="shared" si="4"/>
        <v/>
      </c>
    </row>
    <row r="13" spans="1:12" ht="15" customHeight="1">
      <c r="A13" s="6"/>
      <c r="B13" s="11" t="str">
        <f t="shared" si="0"/>
        <v/>
      </c>
      <c r="C13" s="6"/>
      <c r="D13" s="11" t="str">
        <f t="shared" si="1"/>
        <v/>
      </c>
      <c r="E13" s="11" t="str">
        <f t="shared" si="2"/>
        <v/>
      </c>
      <c r="F13" s="11" t="str">
        <f t="shared" si="5"/>
        <v/>
      </c>
      <c r="G13" s="11" t="str">
        <f>IF(AND(F13&lt;&gt;"",F13&lt;J8,H3),F13,"")</f>
        <v/>
      </c>
      <c r="H13" s="11" t="str">
        <f t="shared" si="3"/>
        <v/>
      </c>
      <c r="I13" s="11" t="str">
        <f t="shared" si="4"/>
        <v/>
      </c>
    </row>
    <row r="14" spans="1:12" ht="15" customHeight="1">
      <c r="A14" s="6"/>
      <c r="B14" s="11" t="str">
        <f t="shared" si="0"/>
        <v/>
      </c>
      <c r="C14" s="6"/>
      <c r="D14" s="11" t="str">
        <f t="shared" si="1"/>
        <v/>
      </c>
      <c r="E14" s="11" t="str">
        <f t="shared" si="2"/>
        <v/>
      </c>
      <c r="F14" s="11" t="str">
        <f t="shared" si="5"/>
        <v/>
      </c>
      <c r="G14" s="11" t="str">
        <f>IF(AND(F14&lt;&gt;"",F14&lt;J8,H3),F14,"")</f>
        <v/>
      </c>
      <c r="H14" s="11" t="str">
        <f t="shared" si="3"/>
        <v/>
      </c>
      <c r="I14" s="11" t="str">
        <f t="shared" si="4"/>
        <v/>
      </c>
    </row>
    <row r="15" spans="1:12" ht="15" customHeight="1">
      <c r="A15" s="6"/>
      <c r="B15" s="11" t="str">
        <f t="shared" si="0"/>
        <v/>
      </c>
      <c r="C15" s="6"/>
      <c r="D15" s="11" t="str">
        <f t="shared" si="1"/>
        <v/>
      </c>
      <c r="E15" s="11" t="str">
        <f t="shared" si="2"/>
        <v/>
      </c>
      <c r="F15" s="11" t="str">
        <f t="shared" si="5"/>
        <v/>
      </c>
      <c r="G15" s="11" t="str">
        <f>IF(AND(F15&lt;&gt;"",F15&lt;J8,H3),F15,"")</f>
        <v/>
      </c>
      <c r="H15" s="11" t="str">
        <f t="shared" si="3"/>
        <v/>
      </c>
      <c r="I15" s="11" t="str">
        <f t="shared" si="4"/>
        <v/>
      </c>
    </row>
    <row r="16" spans="1:12" ht="15" customHeight="1">
      <c r="A16" s="6"/>
      <c r="B16" s="11" t="str">
        <f t="shared" si="0"/>
        <v/>
      </c>
      <c r="C16" s="6"/>
      <c r="D16" s="11" t="str">
        <f t="shared" si="1"/>
        <v/>
      </c>
      <c r="E16" s="11" t="str">
        <f t="shared" si="2"/>
        <v/>
      </c>
      <c r="F16" s="11" t="str">
        <f t="shared" si="5"/>
        <v/>
      </c>
      <c r="G16" s="11" t="str">
        <f>IF(AND(F16&lt;&gt;"",F16&lt;J8,H3),F16,"")</f>
        <v/>
      </c>
      <c r="H16" s="11" t="str">
        <f t="shared" si="3"/>
        <v/>
      </c>
      <c r="I16" s="11" t="str">
        <f t="shared" si="4"/>
        <v/>
      </c>
    </row>
    <row r="17" spans="1:9" ht="15" customHeight="1">
      <c r="A17" s="6"/>
      <c r="B17" s="11" t="str">
        <f t="shared" si="0"/>
        <v/>
      </c>
      <c r="C17" s="6"/>
      <c r="D17" s="11" t="str">
        <f t="shared" si="1"/>
        <v/>
      </c>
      <c r="E17" s="11" t="str">
        <f t="shared" si="2"/>
        <v/>
      </c>
      <c r="F17" s="11" t="str">
        <f t="shared" si="5"/>
        <v/>
      </c>
      <c r="G17" s="11" t="str">
        <f>IF(AND(F17&lt;&gt;"",F17&lt;J8,H3),F17,"")</f>
        <v/>
      </c>
      <c r="H17" s="11" t="str">
        <f t="shared" si="3"/>
        <v/>
      </c>
      <c r="I17" s="11" t="str">
        <f t="shared" si="4"/>
        <v/>
      </c>
    </row>
    <row r="18" spans="1:9" ht="15" customHeight="1">
      <c r="A18" s="6"/>
      <c r="B18" s="11" t="str">
        <f t="shared" si="0"/>
        <v/>
      </c>
      <c r="C18" s="6"/>
      <c r="D18" s="11" t="str">
        <f t="shared" si="1"/>
        <v/>
      </c>
      <c r="E18" s="11" t="str">
        <f t="shared" si="2"/>
        <v/>
      </c>
      <c r="F18" s="11" t="str">
        <f t="shared" si="5"/>
        <v/>
      </c>
      <c r="G18" s="11" t="str">
        <f>IF(AND(F18&lt;&gt;"",F18&lt;J8,H3),F18,"")</f>
        <v/>
      </c>
      <c r="H18" s="11" t="str">
        <f t="shared" si="3"/>
        <v/>
      </c>
      <c r="I18" s="11" t="str">
        <f t="shared" si="4"/>
        <v/>
      </c>
    </row>
    <row r="19" spans="1:9" ht="15" customHeight="1">
      <c r="A19" s="6"/>
      <c r="B19" s="11" t="str">
        <f t="shared" si="0"/>
        <v/>
      </c>
      <c r="C19" s="6"/>
      <c r="D19" s="11" t="str">
        <f t="shared" si="1"/>
        <v/>
      </c>
      <c r="E19" s="11" t="str">
        <f t="shared" si="2"/>
        <v/>
      </c>
      <c r="F19" s="11" t="str">
        <f t="shared" si="5"/>
        <v/>
      </c>
      <c r="G19" s="11" t="str">
        <f>IF(AND(F19&lt;&gt;"",F19&lt;J8,H3),F19,"")</f>
        <v/>
      </c>
      <c r="H19" s="11" t="str">
        <f t="shared" si="3"/>
        <v/>
      </c>
      <c r="I19" s="11" t="str">
        <f t="shared" si="4"/>
        <v/>
      </c>
    </row>
    <row r="20" spans="1:9" ht="15" customHeight="1">
      <c r="A20" s="6"/>
      <c r="B20" s="11" t="str">
        <f t="shared" si="0"/>
        <v/>
      </c>
      <c r="C20" s="6"/>
      <c r="D20" s="11" t="str">
        <f t="shared" si="1"/>
        <v/>
      </c>
      <c r="E20" s="11" t="str">
        <f t="shared" si="2"/>
        <v/>
      </c>
      <c r="F20" s="11" t="str">
        <f t="shared" si="5"/>
        <v/>
      </c>
      <c r="G20" s="11" t="str">
        <f>IF(AND(F20&lt;&gt;"",F20&lt;J8,H3),F20,"")</f>
        <v/>
      </c>
      <c r="H20" s="11" t="str">
        <f t="shared" si="3"/>
        <v/>
      </c>
      <c r="I20" s="11" t="str">
        <f t="shared" si="4"/>
        <v/>
      </c>
    </row>
    <row r="21" spans="1:9" ht="15" customHeight="1">
      <c r="A21" s="6"/>
      <c r="B21" s="11" t="str">
        <f t="shared" si="0"/>
        <v/>
      </c>
      <c r="C21" s="6"/>
      <c r="D21" s="11" t="str">
        <f t="shared" si="1"/>
        <v/>
      </c>
      <c r="E21" s="11" t="str">
        <f t="shared" si="2"/>
        <v/>
      </c>
      <c r="F21" s="11" t="str">
        <f t="shared" si="5"/>
        <v/>
      </c>
      <c r="G21" s="11" t="str">
        <f>IF(AND(F21&lt;&gt;"",F21&lt;J8,H3),F21,"")</f>
        <v/>
      </c>
      <c r="H21" s="11" t="str">
        <f t="shared" si="3"/>
        <v/>
      </c>
      <c r="I21" s="11" t="str">
        <f t="shared" si="4"/>
        <v/>
      </c>
    </row>
    <row r="22" spans="1:9" ht="15" customHeight="1">
      <c r="A22" s="6"/>
      <c r="B22" s="11" t="str">
        <f t="shared" si="0"/>
        <v/>
      </c>
      <c r="C22" s="6"/>
      <c r="D22" s="11" t="str">
        <f t="shared" si="1"/>
        <v/>
      </c>
      <c r="E22" s="11" t="str">
        <f t="shared" si="2"/>
        <v/>
      </c>
      <c r="F22" s="11" t="str">
        <f t="shared" si="5"/>
        <v/>
      </c>
      <c r="G22" s="11" t="str">
        <f>IF(AND(F22&lt;&gt;"",F22&lt;J8,H3),F22,"")</f>
        <v/>
      </c>
      <c r="H22" s="11" t="str">
        <f t="shared" si="3"/>
        <v/>
      </c>
      <c r="I22" s="11" t="str">
        <f t="shared" si="4"/>
        <v/>
      </c>
    </row>
    <row r="23" spans="1:9" ht="15" customHeight="1">
      <c r="A23" s="6"/>
      <c r="B23" s="11" t="str">
        <f t="shared" si="0"/>
        <v/>
      </c>
      <c r="C23" s="6"/>
      <c r="D23" s="11" t="str">
        <f t="shared" si="1"/>
        <v/>
      </c>
      <c r="E23" s="11" t="str">
        <f t="shared" si="2"/>
        <v/>
      </c>
      <c r="F23" s="11" t="str">
        <f t="shared" si="5"/>
        <v/>
      </c>
      <c r="G23" s="11" t="str">
        <f>IF(AND(F23&lt;&gt;"",F23&lt;J8,H3),F23,"")</f>
        <v/>
      </c>
      <c r="H23" s="11" t="str">
        <f t="shared" si="3"/>
        <v/>
      </c>
      <c r="I23" s="11" t="str">
        <f t="shared" si="4"/>
        <v/>
      </c>
    </row>
    <row r="24" spans="1:9" ht="15" customHeight="1">
      <c r="A24" s="6"/>
      <c r="B24" s="11" t="str">
        <f t="shared" si="0"/>
        <v/>
      </c>
      <c r="C24" s="6"/>
      <c r="D24" s="11" t="str">
        <f t="shared" si="1"/>
        <v/>
      </c>
      <c r="E24" s="11" t="str">
        <f t="shared" si="2"/>
        <v/>
      </c>
      <c r="F24" s="11" t="str">
        <f t="shared" si="5"/>
        <v/>
      </c>
      <c r="G24" s="11" t="str">
        <f>IF(AND(F24&lt;&gt;"",F24&lt;J8,H3),F24,"")</f>
        <v/>
      </c>
      <c r="H24" s="11" t="str">
        <f t="shared" si="3"/>
        <v/>
      </c>
      <c r="I24" s="11" t="str">
        <f t="shared" si="4"/>
        <v/>
      </c>
    </row>
    <row r="25" spans="1:9" ht="15" customHeight="1">
      <c r="A25" s="6"/>
      <c r="B25" s="11" t="str">
        <f t="shared" si="0"/>
        <v/>
      </c>
      <c r="C25" s="6"/>
      <c r="D25" s="11" t="str">
        <f t="shared" si="1"/>
        <v/>
      </c>
      <c r="E25" s="11" t="str">
        <f t="shared" si="2"/>
        <v/>
      </c>
      <c r="F25" s="11" t="str">
        <f t="shared" si="5"/>
        <v/>
      </c>
      <c r="G25" s="11" t="str">
        <f>IF(AND(F25&lt;&gt;"",F25&lt;J8,H3),F25,"")</f>
        <v/>
      </c>
      <c r="H25" s="11" t="str">
        <f t="shared" si="3"/>
        <v/>
      </c>
      <c r="I25" s="11" t="str">
        <f t="shared" si="4"/>
        <v/>
      </c>
    </row>
    <row r="26" spans="1:9" ht="15" customHeight="1">
      <c r="A26" s="6"/>
      <c r="B26" s="11" t="str">
        <f t="shared" si="0"/>
        <v/>
      </c>
      <c r="C26" s="6"/>
      <c r="D26" s="11" t="str">
        <f t="shared" si="1"/>
        <v/>
      </c>
      <c r="E26" s="11" t="str">
        <f t="shared" si="2"/>
        <v/>
      </c>
      <c r="F26" s="11" t="str">
        <f t="shared" si="5"/>
        <v/>
      </c>
      <c r="G26" s="11" t="str">
        <f>IF(AND(F26&lt;&gt;"",F26&lt;J8,H3),F26,"")</f>
        <v/>
      </c>
      <c r="H26" s="11" t="str">
        <f t="shared" si="3"/>
        <v/>
      </c>
      <c r="I26" s="11" t="str">
        <f t="shared" si="4"/>
        <v/>
      </c>
    </row>
    <row r="27" spans="1:9" ht="15" customHeight="1">
      <c r="A27" s="6"/>
      <c r="B27" s="11" t="str">
        <f t="shared" si="0"/>
        <v/>
      </c>
      <c r="C27" s="6"/>
      <c r="D27" s="11" t="str">
        <f t="shared" si="1"/>
        <v/>
      </c>
      <c r="E27" s="11" t="str">
        <f t="shared" si="2"/>
        <v/>
      </c>
      <c r="F27" s="11" t="str">
        <f t="shared" si="5"/>
        <v/>
      </c>
      <c r="G27" s="11" t="str">
        <f>IF(AND(F27&lt;&gt;"",F27&lt;J8,H3),F27,"")</f>
        <v/>
      </c>
      <c r="H27" s="11" t="str">
        <f t="shared" si="3"/>
        <v/>
      </c>
      <c r="I27" s="11" t="str">
        <f t="shared" si="4"/>
        <v/>
      </c>
    </row>
  </sheetData>
  <mergeCells count="4">
    <mergeCell ref="A1:I1"/>
    <mergeCell ref="A2:I2"/>
    <mergeCell ref="K3:L3"/>
    <mergeCell ref="K8:L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9998168889431442"/>
  </sheetPr>
  <dimension ref="A1:B21"/>
  <sheetViews>
    <sheetView zoomScaleNormal="100" workbookViewId="0">
      <selection activeCell="A13" sqref="A13"/>
    </sheetView>
  </sheetViews>
  <sheetFormatPr defaultColWidth="8.6640625" defaultRowHeight="14.4"/>
  <cols>
    <col min="1" max="2" width="14" customWidth="1"/>
  </cols>
  <sheetData>
    <row r="1" spans="1:2" ht="15" customHeight="1">
      <c r="A1" s="12" t="s">
        <v>21</v>
      </c>
      <c r="B1" s="12" t="s">
        <v>13</v>
      </c>
    </row>
    <row r="2" spans="1:2" ht="15" customHeight="1">
      <c r="A2" t="str">
        <f>IF('Inndata til histogram'!A8&lt;&gt;"",'Inndata til histogram'!A8&amp;"–"&amp;'Inndata til histogram'!B8,"")</f>
        <v/>
      </c>
      <c r="B2">
        <f>IF('Inndata til histogram'!I8&lt;&gt;"",'Inndata til histogram'!I8,0)</f>
        <v>0</v>
      </c>
    </row>
    <row r="3" spans="1:2" ht="15" customHeight="1">
      <c r="A3" t="str">
        <f>IF('Inndata til histogram'!A9&lt;&gt;"",'Inndata til histogram'!A9&amp;"–"&amp;'Inndata til histogram'!B9,"")</f>
        <v/>
      </c>
      <c r="B3">
        <f>IF('Inndata til histogram'!I9&lt;&gt;"",'Inndata til histogram'!I9,0)</f>
        <v>0</v>
      </c>
    </row>
    <row r="4" spans="1:2" ht="15" customHeight="1">
      <c r="A4" t="str">
        <f>IF('Inndata til histogram'!A10&lt;&gt;"",'Inndata til histogram'!A10&amp;"–"&amp;'Inndata til histogram'!B10,"")</f>
        <v/>
      </c>
      <c r="B4">
        <f>IF('Inndata til histogram'!I10&lt;&gt;"",'Inndata til histogram'!I10,0)</f>
        <v>0</v>
      </c>
    </row>
    <row r="5" spans="1:2" ht="15" customHeight="1">
      <c r="A5" t="str">
        <f>IF('Inndata til histogram'!A11&lt;&gt;"",'Inndata til histogram'!A11&amp;"–"&amp;'Inndata til histogram'!B11,"")</f>
        <v/>
      </c>
      <c r="B5">
        <f>IF('Inndata til histogram'!I11&lt;&gt;"",'Inndata til histogram'!I11,0)</f>
        <v>0</v>
      </c>
    </row>
    <row r="6" spans="1:2" ht="15" customHeight="1">
      <c r="A6" t="str">
        <f>IF('Inndata til histogram'!A12&lt;&gt;"",'Inndata til histogram'!A12&amp;"–"&amp;'Inndata til histogram'!B12,"")</f>
        <v/>
      </c>
      <c r="B6">
        <f>IF('Inndata til histogram'!I12&lt;&gt;"",'Inndata til histogram'!I12,0)</f>
        <v>0</v>
      </c>
    </row>
    <row r="7" spans="1:2" ht="15" customHeight="1">
      <c r="A7" t="str">
        <f>IF('Inndata til histogram'!A13&lt;&gt;"",'Inndata til histogram'!A13&amp;"–"&amp;'Inndata til histogram'!B13,"")</f>
        <v/>
      </c>
      <c r="B7">
        <f>IF('Inndata til histogram'!I13&lt;&gt;"",'Inndata til histogram'!I13,0)</f>
        <v>0</v>
      </c>
    </row>
    <row r="8" spans="1:2" ht="15" customHeight="1">
      <c r="A8" t="str">
        <f>IF('Inndata til histogram'!A14&lt;&gt;"",'Inndata til histogram'!A14&amp;"–"&amp;'Inndata til histogram'!B14,"")</f>
        <v/>
      </c>
      <c r="B8">
        <f>IF('Inndata til histogram'!I14&lt;&gt;"",'Inndata til histogram'!I14,0)</f>
        <v>0</v>
      </c>
    </row>
    <row r="9" spans="1:2" ht="15" customHeight="1">
      <c r="A9" t="str">
        <f>IF('Inndata til histogram'!A15&lt;&gt;"",'Inndata til histogram'!A15&amp;"–"&amp;'Inndata til histogram'!B15,"")</f>
        <v/>
      </c>
      <c r="B9">
        <f>IF('Inndata til histogram'!I15&lt;&gt;"",'Inndata til histogram'!I15,0)</f>
        <v>0</v>
      </c>
    </row>
    <row r="10" spans="1:2" ht="15" customHeight="1">
      <c r="A10" t="str">
        <f>IF('Inndata til histogram'!A16&lt;&gt;"",'Inndata til histogram'!A16&amp;"–"&amp;'Inndata til histogram'!B16,"")</f>
        <v/>
      </c>
      <c r="B10">
        <f>IF('Inndata til histogram'!I16&lt;&gt;"",'Inndata til histogram'!I16,0)</f>
        <v>0</v>
      </c>
    </row>
    <row r="11" spans="1:2" ht="15" customHeight="1">
      <c r="A11" t="str">
        <f>IF('Inndata til histogram'!A17&lt;&gt;"",'Inndata til histogram'!A17&amp;"–"&amp;'Inndata til histogram'!B17,"")</f>
        <v/>
      </c>
      <c r="B11">
        <f>IF('Inndata til histogram'!I17&lt;&gt;"",'Inndata til histogram'!I17,0)</f>
        <v>0</v>
      </c>
    </row>
    <row r="12" spans="1:2" ht="15" customHeight="1">
      <c r="A12" t="str">
        <f>IF('Inndata til histogram'!A18&lt;&gt;"",'Inndata til histogram'!A18&amp;"–"&amp;'Inndata til histogram'!B18,"")</f>
        <v/>
      </c>
      <c r="B12">
        <f>IF('Inndata til histogram'!I18&lt;&gt;"",'Inndata til histogram'!I18,0)</f>
        <v>0</v>
      </c>
    </row>
    <row r="13" spans="1:2" ht="15" customHeight="1">
      <c r="A13" t="str">
        <f>IF('Inndata til histogram'!A19&lt;&gt;"",'Inndata til histogram'!A19&amp;"–"&amp;'Inndata til histogram'!B19,"")</f>
        <v/>
      </c>
      <c r="B13">
        <f>IF('Inndata til histogram'!I19&lt;&gt;"",'Inndata til histogram'!I19,0)</f>
        <v>0</v>
      </c>
    </row>
    <row r="14" spans="1:2" ht="15" customHeight="1">
      <c r="A14" t="str">
        <f>IF('Inndata til histogram'!A20&lt;&gt;"",'Inndata til histogram'!A20&amp;"–"&amp;'Inndata til histogram'!B20,"")</f>
        <v/>
      </c>
      <c r="B14">
        <f>IF('Inndata til histogram'!I20&lt;&gt;"",'Inndata til histogram'!I20,0)</f>
        <v>0</v>
      </c>
    </row>
    <row r="15" spans="1:2" ht="15" customHeight="1">
      <c r="A15" t="str">
        <f>IF('Inndata til histogram'!A21&lt;&gt;"",'Inndata til histogram'!A21&amp;"–"&amp;'Inndata til histogram'!B21,"")</f>
        <v/>
      </c>
      <c r="B15">
        <f>IF('Inndata til histogram'!I21&lt;&gt;"",'Inndata til histogram'!I21,0)</f>
        <v>0</v>
      </c>
    </row>
    <row r="16" spans="1:2" ht="15" customHeight="1">
      <c r="A16" t="str">
        <f>IF('Inndata til histogram'!A22&lt;&gt;"",'Inndata til histogram'!A22&amp;"–"&amp;'Inndata til histogram'!B22,"")</f>
        <v/>
      </c>
      <c r="B16">
        <f>IF('Inndata til histogram'!I22&lt;&gt;"",'Inndata til histogram'!I22,0)</f>
        <v>0</v>
      </c>
    </row>
    <row r="17" spans="1:2" ht="15" customHeight="1">
      <c r="A17" t="str">
        <f>IF('Inndata til histogram'!A23&lt;&gt;"",'Inndata til histogram'!A23&amp;"–"&amp;'Inndata til histogram'!B23,"")</f>
        <v/>
      </c>
      <c r="B17">
        <f>IF('Inndata til histogram'!I23&lt;&gt;"",'Inndata til histogram'!I23,0)</f>
        <v>0</v>
      </c>
    </row>
    <row r="18" spans="1:2" ht="15" customHeight="1">
      <c r="A18" t="str">
        <f>IF('Inndata til histogram'!A24&lt;&gt;"",'Inndata til histogram'!A24&amp;"–"&amp;'Inndata til histogram'!B24,"")</f>
        <v/>
      </c>
      <c r="B18">
        <f>IF('Inndata til histogram'!I24&lt;&gt;"",'Inndata til histogram'!I24,0)</f>
        <v>0</v>
      </c>
    </row>
    <row r="19" spans="1:2" ht="15" customHeight="1">
      <c r="A19" t="str">
        <f>IF('Inndata til histogram'!A25&lt;&gt;"",'Inndata til histogram'!A25&amp;"–"&amp;'Inndata til histogram'!B25,"")</f>
        <v/>
      </c>
      <c r="B19">
        <f>IF('Inndata til histogram'!I25&lt;&gt;"",'Inndata til histogram'!I25,0)</f>
        <v>0</v>
      </c>
    </row>
    <row r="20" spans="1:2" ht="15" customHeight="1">
      <c r="A20" t="str">
        <f>IF('Inndata til histogram'!A26&lt;&gt;"",'Inndata til histogram'!A26&amp;"–"&amp;'Inndata til histogram'!B26,"")</f>
        <v/>
      </c>
      <c r="B20">
        <f>IF('Inndata til histogram'!I26&lt;&gt;"",'Inndata til histogram'!I26,0)</f>
        <v>0</v>
      </c>
    </row>
    <row r="21" spans="1:2" ht="15" customHeight="1">
      <c r="A21" t="str">
        <f>IF('Inndata til histogram'!A27&lt;&gt;"",'Inndata til histogram'!A27&amp;"–"&amp;'Inndata til histogram'!B27,"")</f>
        <v/>
      </c>
      <c r="B21">
        <f>IF('Inndata til histogram'!I27&lt;&gt;"",'Inndata til histogram'!I27,0)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Utregning</vt:lpstr>
      <vt:lpstr>Hovedside</vt:lpstr>
      <vt:lpstr>Nedbetaling av lån</vt:lpstr>
      <vt:lpstr>Frekvenstabell</vt:lpstr>
      <vt:lpstr>Pytagoras-kalkulator</vt:lpstr>
      <vt:lpstr>Prosentregning</vt:lpstr>
      <vt:lpstr>Omgjøring av enheter</vt:lpstr>
      <vt:lpstr>Inndata til histogram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dcterms:created xsi:type="dcterms:W3CDTF">2026-05-14T13:36:05Z</dcterms:created>
  <dcterms:modified xsi:type="dcterms:W3CDTF">2026-05-15T11:01:18Z</dcterms:modified>
</cp:coreProperties>
</file>